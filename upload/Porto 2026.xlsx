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4"/>
    <sheet state="visible" name="Troika" sheetId="2" r:id="rId5"/>
    <sheet state="visible" name="Sheet3" sheetId="3" r:id="rId6"/>
    <sheet state="visible" name="Sheet2" sheetId="4" r:id="rId7"/>
    <sheet state="visible" name="Sheet1" sheetId="5" r:id="rId8"/>
  </sheets>
  <definedNames/>
  <calcPr/>
  <extLst>
    <ext uri="GoogleSheetsCustomDataVersion2">
      <go:sheetsCustomData xmlns:go="http://customooxmlschemas.google.com/" r:id="rId9" roundtripDataChecksum="Tkgj0FnK+zL2yln5ZM2dd5Ss44ZxcTKVGJKXX0Jxpb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1">
      <text>
        <t xml:space="preserve">======
ID#AAAB-wS0pC8
tc={740e8bfc-9d67-4f8e-8ee3-deedcc2919d9}    (2026-07-02 11:44:51)
[Threaded comment]
 Your version of Excel allows you to read this threaded comment; however, any edits to it will get removed if the file is opened in a newer version of Excel. Learn more: https://go.microsoft.com/fwlink/?linkid=870924
Comment:
	pagar sandra</t>
      </text>
    </comment>
  </commentList>
  <extLst>
    <ext uri="GoogleSheetsCustomDataVersion2">
      <go:sheetsCustomData xmlns:go="http://customooxmlschemas.google.com/" r:id="rId1" roundtripDataSignature="AMtx7mg+V1vQ1Uy8q09SsQfSXX9ibnnutA=="/>
    </ext>
  </extLst>
</comments>
</file>

<file path=xl/sharedStrings.xml><?xml version="1.0" encoding="utf-8"?>
<sst xmlns="http://schemas.openxmlformats.org/spreadsheetml/2006/main" count="244" uniqueCount="87">
  <si>
    <t>.</t>
  </si>
  <si>
    <t>@dropdown-</t>
  </si>
  <si>
    <t>Despesas</t>
  </si>
  <si>
    <t>Mai</t>
  </si>
  <si>
    <t>JUL</t>
  </si>
  <si>
    <t>TOto</t>
  </si>
  <si>
    <t>Euro</t>
  </si>
  <si>
    <t>Total mensal despesa:</t>
  </si>
  <si>
    <t>t</t>
  </si>
  <si>
    <t>Lazer</t>
  </si>
  <si>
    <t>totais</t>
  </si>
  <si>
    <t xml:space="preserve">Nubank Kiki     - vence dia 11 </t>
  </si>
  <si>
    <t>Nubank Breno - vence dia  5</t>
  </si>
  <si>
    <t>x</t>
  </si>
  <si>
    <t>Mes limite</t>
  </si>
  <si>
    <t>Metas:</t>
  </si>
  <si>
    <t xml:space="preserve">Santander Kiki  - vence dia 12 </t>
  </si>
  <si>
    <t>ago</t>
  </si>
  <si>
    <t>Quitar emprestimo e não fazer novo</t>
  </si>
  <si>
    <t>Picpay  Breno - Vence dia 10</t>
  </si>
  <si>
    <t>dez</t>
  </si>
  <si>
    <t>Temos 6 cartoes, manter e usar apenas wizink (4/6)</t>
  </si>
  <si>
    <t>Inter Kiki</t>
  </si>
  <si>
    <t>ser restrito a planilha até dezembro</t>
  </si>
  <si>
    <t>Emprestimo Nubank Breno</t>
  </si>
  <si>
    <t xml:space="preserve"> finalizar e quitar mestrado</t>
  </si>
  <si>
    <t>Saldo restante contas casa</t>
  </si>
  <si>
    <t>Deixar sempre livre 1000 euros wizink (ate 3400)</t>
  </si>
  <si>
    <t>MEI Breno</t>
  </si>
  <si>
    <t>Ser fiel ao valor supermercado</t>
  </si>
  <si>
    <t>Fies -  dez  35</t>
  </si>
  <si>
    <t>junho</t>
  </si>
  <si>
    <t>Proibido glovo até maio</t>
  </si>
  <si>
    <t>Diogo  - dez 29</t>
  </si>
  <si>
    <t>fev</t>
  </si>
  <si>
    <t>Plano da MEO para reduzir valor de 60+25 de tv e tel</t>
  </si>
  <si>
    <t>Reserva casa</t>
  </si>
  <si>
    <t>Reserva Viagem</t>
  </si>
  <si>
    <t>Fundo de desenvolvimento pessoal</t>
  </si>
  <si>
    <t>RENDIMENTOS EM REAL</t>
  </si>
  <si>
    <t>Cheque especial Kiki</t>
  </si>
  <si>
    <t xml:space="preserve">Caixinha Breno </t>
  </si>
  <si>
    <t>Salario Breno</t>
  </si>
  <si>
    <t>VAI SOBRAR:</t>
  </si>
  <si>
    <t>ACUMULADO REAL</t>
  </si>
  <si>
    <t>ACUMULADO EURO</t>
  </si>
  <si>
    <t>RENDIMENTOS EURO</t>
  </si>
  <si>
    <t>SALDO FINAL</t>
  </si>
  <si>
    <t>Contas casa</t>
  </si>
  <si>
    <t xml:space="preserve">Aluguel </t>
  </si>
  <si>
    <t>Luz Endesa</t>
  </si>
  <si>
    <t>TV, Net, Celular- dia 5 - debito direto</t>
  </si>
  <si>
    <t>Supermercado</t>
  </si>
  <si>
    <t>Transporte Andante</t>
  </si>
  <si>
    <t>Água</t>
  </si>
  <si>
    <t>Plano Tetê e Limão</t>
  </si>
  <si>
    <t>Turminha raçoes</t>
  </si>
  <si>
    <t>Mesada Kiki</t>
  </si>
  <si>
    <t>Mesada Breno</t>
  </si>
  <si>
    <t>Wizink dia 11</t>
  </si>
  <si>
    <t>forma de pagamento</t>
  </si>
  <si>
    <t>Data</t>
  </si>
  <si>
    <t>Compras</t>
  </si>
  <si>
    <t>Valor</t>
  </si>
  <si>
    <t>Categoria</t>
  </si>
  <si>
    <t>Inter</t>
  </si>
  <si>
    <t>30/06</t>
  </si>
  <si>
    <t>1/2 quinzenal</t>
  </si>
  <si>
    <t>Alimentação</t>
  </si>
  <si>
    <t>uber medico</t>
  </si>
  <si>
    <t>Uber</t>
  </si>
  <si>
    <t>Nubank</t>
  </si>
  <si>
    <t>auchan</t>
  </si>
  <si>
    <t>Mbway</t>
  </si>
  <si>
    <t>Column 1</t>
  </si>
  <si>
    <t>Roupa</t>
  </si>
  <si>
    <t>Itens</t>
  </si>
  <si>
    <t>Pet</t>
  </si>
  <si>
    <t>Wizink</t>
  </si>
  <si>
    <t>limite</t>
  </si>
  <si>
    <t>Usado</t>
  </si>
  <si>
    <t>Roupas</t>
  </si>
  <si>
    <t>Pets</t>
  </si>
  <si>
    <t>OBS</t>
  </si>
  <si>
    <t>Fidel doente</t>
  </si>
  <si>
    <t>Nubank Kiki     - vence dia 11 + Mestrado 8X</t>
  </si>
  <si>
    <t>Deixar sempre livre 1000 euros wizink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</si>
</sst>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mmm"/>
    <numFmt numFmtId="166" formatCode="[$R$]#,##0.00"/>
    <numFmt numFmtId="167" formatCode="[$R$]#,##0"/>
    <numFmt numFmtId="168" formatCode="mm/dd"/>
    <numFmt numFmtId="169" formatCode="[$€]#,##0.00"/>
    <numFmt numFmtId="170" formatCode="m/d/yyyy"/>
    <numFmt numFmtId="171" formatCode="mm/dd/yy"/>
    <numFmt numFmtId="172" formatCode="#,##0&quot;€&quot;"/>
    <numFmt numFmtId="173" formatCode="m/d"/>
  </numFmts>
  <fonts count="33">
    <font>
      <sz val="10.0"/>
      <color rgb="FF000000"/>
      <name val="Arial"/>
      <scheme val="minor"/>
    </font>
    <font>
      <b/>
      <i/>
      <sz val="11.0"/>
      <color rgb="FF334960"/>
      <name val="Lato"/>
    </font>
    <font>
      <sz val="10.0"/>
      <color rgb="FF576475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FFFFFF"/>
      <name val="Lato"/>
    </font>
    <font>
      <b/>
      <i/>
      <sz val="9.0"/>
      <color rgb="FFFFFFFF"/>
      <name val="Lato"/>
    </font>
    <font>
      <b/>
      <i/>
      <sz val="11.0"/>
      <color rgb="FF556376"/>
      <name val="Lato"/>
    </font>
    <font>
      <b/>
      <i/>
      <sz val="10.0"/>
      <color rgb="FF000000"/>
      <name val="Lato"/>
    </font>
    <font>
      <sz val="10.0"/>
      <color rgb="FFFFFF00"/>
      <name val="Lato"/>
    </font>
    <font>
      <sz val="10.0"/>
      <color rgb="FFFFFFFF"/>
      <name val="Lato"/>
    </font>
    <font>
      <sz val="10.0"/>
      <color rgb="FF000000"/>
      <name val="Lato"/>
    </font>
    <font>
      <sz val="9.0"/>
      <color rgb="FF6C7687"/>
      <name val="Lato"/>
    </font>
    <font>
      <sz val="9.0"/>
      <color rgb="FF000000"/>
      <name val="Lato"/>
    </font>
    <font>
      <sz val="9.0"/>
      <color rgb="FFFFFF00"/>
      <name val="Lato"/>
    </font>
    <font>
      <sz val="9.0"/>
      <color rgb="FF434343"/>
      <name val="Lato"/>
    </font>
    <font>
      <sz val="9.0"/>
      <color rgb="FFFFFFFF"/>
      <name val="Lato"/>
    </font>
    <font>
      <b/>
      <i/>
      <sz val="10.0"/>
      <color rgb="FFFFFF00"/>
      <name val="Lato"/>
    </font>
    <font>
      <b/>
      <i/>
      <sz val="10.0"/>
      <color rgb="FFFFFFFF"/>
      <name val="Lato"/>
    </font>
    <font>
      <sz val="9.0"/>
      <color rgb="FF576475"/>
      <name val="Lato"/>
    </font>
    <font>
      <sz val="9.0"/>
      <color rgb="FF334960"/>
      <name val="Lato"/>
    </font>
    <font>
      <b/>
      <sz val="10.0"/>
      <color rgb="FFFFFF00"/>
      <name val="Lato"/>
    </font>
    <font>
      <b/>
      <sz val="9.0"/>
      <color rgb="FFFFFF00"/>
      <name val="Lato"/>
    </font>
    <font>
      <sz val="9.0"/>
      <color rgb="FF666666"/>
      <name val="Lato"/>
    </font>
    <font>
      <b/>
      <i/>
      <sz val="10.0"/>
      <color rgb="FF6C7687"/>
      <name val="Lato"/>
    </font>
    <font>
      <i/>
      <sz val="9.0"/>
      <color rgb="FF334960"/>
      <name val="Lato"/>
    </font>
    <font>
      <sz val="9.0"/>
      <color rgb="FFFF0000"/>
      <name val="Lato"/>
    </font>
    <font>
      <color theme="1"/>
      <name val="Arial"/>
      <scheme val="minor"/>
    </font>
    <font>
      <color rgb="FFFFFFFF"/>
      <name val="Roboto"/>
    </font>
    <font>
      <color rgb="FF000000"/>
      <name val="Arial"/>
      <scheme val="minor"/>
    </font>
    <font>
      <color rgb="FF434343"/>
      <name val="Roboto"/>
    </font>
    <font>
      <color rgb="FF000000"/>
      <name val="Roboto"/>
    </font>
  </fonts>
  <fills count="31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20124D"/>
        <bgColor rgb="FF20124D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rgb="FF576475"/>
        <bgColor rgb="FF576475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</fills>
  <borders count="28">
    <border/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334960"/>
      </left>
      <top style="thin">
        <color rgb="FF334960"/>
      </top>
    </border>
    <border>
      <right style="thin">
        <color rgb="FF334960"/>
      </right>
      <top style="thin">
        <color rgb="FF334960"/>
      </top>
    </border>
    <border>
      <left style="thin">
        <color rgb="FF334960"/>
      </left>
      <right style="thin">
        <color rgb="FF334960"/>
      </right>
      <top style="thin">
        <color rgb="FF334960"/>
      </top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bottom style="thin">
        <color rgb="FF6C768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right style="thin">
        <color rgb="FF000000"/>
      </right>
    </border>
    <border>
      <left style="thick">
        <color rgb="FFFF0000"/>
      </left>
      <right style="thick">
        <color rgb="FFFF0000"/>
      </right>
    </border>
    <border>
      <right style="thick">
        <color rgb="FFFF0000"/>
      </right>
    </border>
    <border>
      <left style="thin">
        <color rgb="FF000000"/>
      </left>
      <right style="thin">
        <color rgb="FF000000"/>
      </right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bottom style="hair">
        <color rgb="FFFFFFFF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2" numFmtId="0" xfId="0" applyAlignment="1" applyBorder="1" applyFont="1">
      <alignment horizontal="left" vertical="center"/>
    </xf>
    <xf borderId="0" fillId="2" fontId="3" numFmtId="164" xfId="0" applyAlignment="1" applyFont="1" applyNumberFormat="1">
      <alignment horizontal="right" vertical="center"/>
    </xf>
    <xf borderId="3" fillId="2" fontId="3" numFmtId="164" xfId="0" applyAlignment="1" applyBorder="1" applyFont="1" applyNumberFormat="1">
      <alignment horizontal="right" vertical="center"/>
    </xf>
    <xf borderId="4" fillId="2" fontId="3" numFmtId="164" xfId="0" applyAlignment="1" applyBorder="1" applyFont="1" applyNumberFormat="1">
      <alignment horizontal="right" vertical="center"/>
    </xf>
    <xf borderId="4" fillId="0" fontId="4" numFmtId="164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left" vertical="bottom"/>
    </xf>
    <xf borderId="0" fillId="3" fontId="6" numFmtId="165" xfId="0" applyAlignment="1" applyFill="1" applyFont="1" applyNumberFormat="1">
      <alignment horizontal="right" vertical="bottom"/>
    </xf>
    <xf borderId="8" fillId="3" fontId="6" numFmtId="165" xfId="0" applyAlignment="1" applyBorder="1" applyFont="1" applyNumberFormat="1">
      <alignment horizontal="right" vertical="bottom"/>
    </xf>
    <xf borderId="0" fillId="3" fontId="6" numFmtId="0" xfId="0" applyAlignment="1" applyFont="1">
      <alignment horizontal="right" vertical="bottom"/>
    </xf>
    <xf borderId="8" fillId="4" fontId="6" numFmtId="0" xfId="0" applyAlignment="1" applyBorder="1" applyFill="1" applyFont="1">
      <alignment horizontal="right" vertical="bottom"/>
    </xf>
    <xf borderId="8" fillId="5" fontId="6" numFmtId="165" xfId="0" applyAlignment="1" applyBorder="1" applyFill="1" applyFont="1" applyNumberFormat="1">
      <alignment horizontal="right" vertical="bottom"/>
    </xf>
    <xf borderId="8" fillId="6" fontId="6" numFmtId="165" xfId="0" applyAlignment="1" applyBorder="1" applyFill="1" applyFont="1" applyNumberFormat="1">
      <alignment horizontal="right" vertical="bottom"/>
    </xf>
    <xf borderId="0" fillId="7" fontId="6" numFmtId="0" xfId="0" applyAlignment="1" applyFill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9" fillId="0" fontId="8" numFmtId="0" xfId="0" applyAlignment="1" applyBorder="1" applyFont="1">
      <alignment horizontal="right" vertical="center"/>
    </xf>
    <xf borderId="10" fillId="0" fontId="8" numFmtId="0" xfId="0" applyAlignment="1" applyBorder="1" applyFont="1">
      <alignment horizontal="right" vertical="center"/>
    </xf>
    <xf borderId="11" fillId="8" fontId="9" numFmtId="0" xfId="0" applyAlignment="1" applyBorder="1" applyFill="1" applyFont="1">
      <alignment horizontal="left" vertical="center"/>
    </xf>
    <xf borderId="0" fillId="3" fontId="10" numFmtId="166" xfId="0" applyAlignment="1" applyFont="1" applyNumberFormat="1">
      <alignment horizontal="right" vertical="center"/>
    </xf>
    <xf borderId="8" fillId="3" fontId="10" numFmtId="166" xfId="0" applyAlignment="1" applyBorder="1" applyFont="1" applyNumberFormat="1">
      <alignment horizontal="right" vertical="center"/>
    </xf>
    <xf borderId="0" fillId="0" fontId="11" numFmtId="166" xfId="0" applyAlignment="1" applyFont="1" applyNumberFormat="1">
      <alignment horizontal="right" vertical="center"/>
    </xf>
    <xf borderId="12" fillId="0" fontId="1" numFmtId="0" xfId="0" applyAlignment="1" applyBorder="1" applyFont="1">
      <alignment horizontal="right" vertical="center"/>
    </xf>
    <xf borderId="13" fillId="0" fontId="1" numFmtId="0" xfId="0" applyAlignment="1" applyBorder="1" applyFont="1">
      <alignment horizontal="right" vertical="center"/>
    </xf>
    <xf borderId="11" fillId="8" fontId="12" numFmtId="0" xfId="0" applyAlignment="1" applyBorder="1" applyFont="1">
      <alignment horizontal="left" vertical="center"/>
    </xf>
    <xf borderId="0" fillId="8" fontId="13" numFmtId="167" xfId="0" applyAlignment="1" applyFont="1" applyNumberFormat="1">
      <alignment horizontal="right" vertical="center"/>
    </xf>
    <xf borderId="0" fillId="3" fontId="14" numFmtId="168" xfId="0" applyAlignment="1" applyFont="1" applyNumberFormat="1">
      <alignment horizontal="right" vertical="center"/>
    </xf>
    <xf borderId="0" fillId="8" fontId="14" numFmtId="168" xfId="0" applyAlignment="1" applyFont="1" applyNumberFormat="1">
      <alignment horizontal="right" vertical="center"/>
    </xf>
    <xf borderId="0" fillId="8" fontId="13" numFmtId="166" xfId="0" applyAlignment="1" applyFont="1" applyNumberFormat="1">
      <alignment horizontal="right" vertical="center"/>
    </xf>
    <xf borderId="14" fillId="0" fontId="14" numFmtId="166" xfId="0" applyAlignment="1" applyBorder="1" applyFont="1" applyNumberFormat="1">
      <alignment horizontal="right" vertical="center"/>
    </xf>
    <xf borderId="0" fillId="0" fontId="15" numFmtId="166" xfId="0" applyAlignment="1" applyFont="1" applyNumberFormat="1">
      <alignment horizontal="right" vertical="center"/>
    </xf>
    <xf borderId="0" fillId="7" fontId="15" numFmtId="166" xfId="0" applyAlignment="1" applyFont="1" applyNumberFormat="1">
      <alignment horizontal="right" vertical="center"/>
    </xf>
    <xf borderId="0" fillId="7" fontId="14" numFmtId="166" xfId="0" applyAlignment="1" applyFont="1" applyNumberFormat="1">
      <alignment horizontal="right" vertical="center"/>
    </xf>
    <xf borderId="11" fillId="8" fontId="12" numFmtId="0" xfId="0" applyAlignment="1" applyBorder="1" applyFont="1">
      <alignment horizontal="left" readingOrder="0" vertical="center"/>
    </xf>
    <xf borderId="0" fillId="8" fontId="13" numFmtId="167" xfId="0" applyAlignment="1" applyFont="1" applyNumberFormat="1">
      <alignment horizontal="right" readingOrder="0" vertical="center"/>
    </xf>
    <xf borderId="0" fillId="8" fontId="16" numFmtId="167" xfId="0" applyAlignment="1" applyFont="1" applyNumberFormat="1">
      <alignment horizontal="right" readingOrder="0" vertical="center"/>
    </xf>
    <xf borderId="15" fillId="9" fontId="17" numFmtId="169" xfId="0" applyAlignment="1" applyBorder="1" applyFill="1" applyFont="1" applyNumberFormat="1">
      <alignment horizontal="right" vertical="center"/>
    </xf>
    <xf borderId="0" fillId="8" fontId="14" numFmtId="167" xfId="0" applyAlignment="1" applyFont="1" applyNumberFormat="1">
      <alignment horizontal="right" vertical="center"/>
    </xf>
    <xf borderId="0" fillId="10" fontId="13" numFmtId="166" xfId="0" applyAlignment="1" applyFill="1" applyFont="1" applyNumberFormat="1">
      <alignment horizontal="right" vertical="center"/>
    </xf>
    <xf borderId="16" fillId="0" fontId="14" numFmtId="166" xfId="0" applyAlignment="1" applyBorder="1" applyFont="1" applyNumberFormat="1">
      <alignment horizontal="right" vertical="center"/>
    </xf>
    <xf borderId="12" fillId="0" fontId="1" numFmtId="168" xfId="0" applyAlignment="1" applyBorder="1" applyFont="1" applyNumberFormat="1">
      <alignment horizontal="right" vertical="center"/>
    </xf>
    <xf borderId="0" fillId="8" fontId="15" numFmtId="167" xfId="0" applyAlignment="1" applyFont="1" applyNumberFormat="1">
      <alignment horizontal="right" vertical="center"/>
    </xf>
    <xf borderId="17" fillId="0" fontId="14" numFmtId="166" xfId="0" applyAlignment="1" applyBorder="1" applyFont="1" applyNumberFormat="1">
      <alignment horizontal="right" vertical="center"/>
    </xf>
    <xf borderId="0" fillId="0" fontId="17" numFmtId="166" xfId="0" applyAlignment="1" applyFont="1" applyNumberFormat="1">
      <alignment horizontal="left" shrinkToFit="0" vertical="center" wrapText="0"/>
    </xf>
    <xf borderId="0" fillId="7" fontId="14" numFmtId="166" xfId="0" applyAlignment="1" applyFont="1" applyNumberFormat="1">
      <alignment horizontal="left" vertical="center"/>
    </xf>
    <xf borderId="0" fillId="0" fontId="1" numFmtId="0" xfId="0" applyAlignment="1" applyFont="1">
      <alignment horizontal="right" vertical="center"/>
    </xf>
    <xf borderId="0" fillId="7" fontId="14" numFmtId="166" xfId="0" applyAlignment="1" applyFont="1" applyNumberFormat="1">
      <alignment shrinkToFit="0" vertical="center" wrapText="0"/>
    </xf>
    <xf borderId="18" fillId="7" fontId="14" numFmtId="166" xfId="0" applyAlignment="1" applyBorder="1" applyFont="1" applyNumberFormat="1">
      <alignment shrinkToFit="0" vertical="center" wrapText="0"/>
    </xf>
    <xf borderId="0" fillId="3" fontId="15" numFmtId="167" xfId="0" applyAlignment="1" applyFont="1" applyNumberFormat="1">
      <alignment horizontal="right" vertical="center"/>
    </xf>
    <xf borderId="18" fillId="0" fontId="14" numFmtId="166" xfId="0" applyAlignment="1" applyBorder="1" applyFont="1" applyNumberFormat="1">
      <alignment shrinkToFit="0" vertical="center" wrapText="0"/>
    </xf>
    <xf borderId="0" fillId="0" fontId="1" numFmtId="168" xfId="0" applyAlignment="1" applyFont="1" applyNumberFormat="1">
      <alignment horizontal="right" vertical="center"/>
    </xf>
    <xf borderId="0" fillId="3" fontId="14" numFmtId="167" xfId="0" applyAlignment="1" applyFont="1" applyNumberFormat="1">
      <alignment horizontal="right" vertical="center"/>
    </xf>
    <xf borderId="11" fillId="2" fontId="18" numFmtId="0" xfId="0" applyAlignment="1" applyBorder="1" applyFont="1">
      <alignment horizontal="left" vertical="center"/>
    </xf>
    <xf borderId="0" fillId="2" fontId="15" numFmtId="166" xfId="0" applyAlignment="1" applyFont="1" applyNumberFormat="1">
      <alignment horizontal="right" vertical="center"/>
    </xf>
    <xf borderId="19" fillId="0" fontId="14" numFmtId="166" xfId="0" applyAlignment="1" applyBorder="1" applyFont="1" applyNumberFormat="1">
      <alignment horizontal="right" vertical="center"/>
    </xf>
    <xf borderId="18" fillId="8" fontId="14" numFmtId="166" xfId="0" applyAlignment="1" applyBorder="1" applyFont="1" applyNumberFormat="1">
      <alignment shrinkToFit="0" vertical="center" wrapText="0"/>
    </xf>
    <xf borderId="0" fillId="11" fontId="14" numFmtId="166" xfId="0" applyAlignment="1" applyFill="1" applyFont="1" applyNumberFormat="1">
      <alignment shrinkToFit="0" vertical="center" wrapText="0"/>
    </xf>
    <xf borderId="18" fillId="11" fontId="14" numFmtId="166" xfId="0" applyAlignment="1" applyBorder="1" applyFont="1" applyNumberFormat="1">
      <alignment shrinkToFit="0" vertical="center" wrapText="0"/>
    </xf>
    <xf borderId="0" fillId="0" fontId="15" numFmtId="167" xfId="0" applyAlignment="1" applyFont="1" applyNumberFormat="1">
      <alignment horizontal="right" vertical="center"/>
    </xf>
    <xf borderId="20" fillId="11" fontId="14" numFmtId="166" xfId="0" applyAlignment="1" applyBorder="1" applyFont="1" applyNumberFormat="1">
      <alignment shrinkToFit="0" vertical="center" wrapText="0"/>
    </xf>
    <xf borderId="14" fillId="0" fontId="13" numFmtId="166" xfId="0" applyAlignment="1" applyBorder="1" applyFont="1" applyNumberFormat="1">
      <alignment horizontal="right" vertical="center"/>
    </xf>
    <xf borderId="0" fillId="12" fontId="14" numFmtId="169" xfId="0" applyAlignment="1" applyFill="1" applyFont="1" applyNumberFormat="1">
      <alignment horizontal="right" vertical="center"/>
    </xf>
    <xf borderId="0" fillId="0" fontId="14" numFmtId="166" xfId="0" applyAlignment="1" applyFont="1" applyNumberFormat="1">
      <alignment horizontal="left" vertical="center"/>
    </xf>
    <xf borderId="16" fillId="0" fontId="13" numFmtId="166" xfId="0" applyAlignment="1" applyBorder="1" applyFont="1" applyNumberFormat="1">
      <alignment horizontal="right" vertical="center"/>
    </xf>
    <xf borderId="11" fillId="9" fontId="19" numFmtId="0" xfId="0" applyAlignment="1" applyBorder="1" applyFont="1">
      <alignment horizontal="left" vertical="center"/>
    </xf>
    <xf borderId="0" fillId="9" fontId="11" numFmtId="169" xfId="0" applyAlignment="1" applyFont="1" applyNumberFormat="1">
      <alignment horizontal="right" vertical="center"/>
    </xf>
    <xf borderId="19" fillId="13" fontId="15" numFmtId="166" xfId="0" applyAlignment="1" applyBorder="1" applyFill="1" applyFont="1" applyNumberFormat="1">
      <alignment horizontal="right" vertical="center"/>
    </xf>
    <xf borderId="0" fillId="0" fontId="14" numFmtId="166" xfId="0" applyAlignment="1" applyFont="1" applyNumberFormat="1">
      <alignment horizontal="right" vertical="center"/>
    </xf>
    <xf borderId="11" fillId="3" fontId="18" numFmtId="0" xfId="0" applyAlignment="1" applyBorder="1" applyFont="1">
      <alignment horizontal="left" vertical="center"/>
    </xf>
    <xf borderId="0" fillId="3" fontId="10" numFmtId="167" xfId="0" applyAlignment="1" applyFont="1" applyNumberFormat="1">
      <alignment horizontal="right" vertical="center"/>
    </xf>
    <xf borderId="0" fillId="0" fontId="11" numFmtId="167" xfId="0" applyAlignment="1" applyFont="1" applyNumberFormat="1">
      <alignment horizontal="right" vertical="center"/>
    </xf>
    <xf borderId="11" fillId="8" fontId="3" numFmtId="0" xfId="0" applyAlignment="1" applyBorder="1" applyFont="1">
      <alignment horizontal="left" vertical="center"/>
    </xf>
    <xf borderId="0" fillId="8" fontId="20" numFmtId="167" xfId="0" applyAlignment="1" applyFont="1" applyNumberFormat="1">
      <alignment horizontal="right" vertical="center"/>
    </xf>
    <xf borderId="0" fillId="3" fontId="20" numFmtId="167" xfId="0" applyAlignment="1" applyFont="1" applyNumberFormat="1">
      <alignment horizontal="right" vertical="center"/>
    </xf>
    <xf borderId="0" fillId="8" fontId="15" numFmtId="166" xfId="0" applyAlignment="1" applyFont="1" applyNumberFormat="1">
      <alignment horizontal="right" vertical="center"/>
    </xf>
    <xf borderId="0" fillId="0" fontId="20" numFmtId="167" xfId="0" applyAlignment="1" applyFont="1" applyNumberFormat="1">
      <alignment horizontal="right" vertical="center"/>
    </xf>
    <xf borderId="0" fillId="0" fontId="14" numFmtId="168" xfId="0" applyAlignment="1" applyFont="1" applyNumberFormat="1">
      <alignment horizontal="right" vertical="center"/>
    </xf>
    <xf borderId="21" fillId="0" fontId="1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right" vertical="center"/>
    </xf>
    <xf borderId="0" fillId="0" fontId="21" numFmtId="167" xfId="0" applyAlignment="1" applyFont="1" applyNumberFormat="1">
      <alignment horizontal="right" vertical="center"/>
    </xf>
    <xf borderId="0" fillId="8" fontId="14" numFmtId="167" xfId="0" applyAlignment="1" applyFont="1" applyNumberFormat="1">
      <alignment horizontal="right" readingOrder="0" vertical="center"/>
    </xf>
    <xf borderId="7" fillId="3" fontId="22" numFmtId="0" xfId="0" applyAlignment="1" applyBorder="1" applyFont="1">
      <alignment horizontal="left" vertical="center"/>
    </xf>
    <xf borderId="0" fillId="14" fontId="15" numFmtId="167" xfId="0" applyAlignment="1" applyFill="1" applyFont="1" applyNumberFormat="1">
      <alignment horizontal="right" vertical="center"/>
    </xf>
    <xf borderId="8" fillId="14" fontId="15" numFmtId="167" xfId="0" applyAlignment="1" applyBorder="1" applyFont="1" applyNumberFormat="1">
      <alignment horizontal="right" vertical="center"/>
    </xf>
    <xf borderId="7" fillId="14" fontId="15" numFmtId="167" xfId="0" applyAlignment="1" applyBorder="1" applyFont="1" applyNumberFormat="1">
      <alignment horizontal="right" vertical="center"/>
    </xf>
    <xf borderId="8" fillId="3" fontId="15" numFmtId="167" xfId="0" applyAlignment="1" applyBorder="1" applyFont="1" applyNumberFormat="1">
      <alignment horizontal="right" vertical="center"/>
    </xf>
    <xf borderId="8" fillId="4" fontId="15" numFmtId="167" xfId="0" applyAlignment="1" applyBorder="1" applyFont="1" applyNumberFormat="1">
      <alignment horizontal="right" vertical="center"/>
    </xf>
    <xf borderId="8" fillId="5" fontId="15" numFmtId="167" xfId="0" applyAlignment="1" applyBorder="1" applyFont="1" applyNumberFormat="1">
      <alignment horizontal="right" vertical="center"/>
    </xf>
    <xf borderId="8" fillId="14" fontId="15" numFmtId="166" xfId="0" applyAlignment="1" applyBorder="1" applyFont="1" applyNumberFormat="1">
      <alignment horizontal="right" vertical="center"/>
    </xf>
    <xf borderId="23" fillId="14" fontId="15" numFmtId="166" xfId="0" applyAlignment="1" applyBorder="1" applyFont="1" applyNumberFormat="1">
      <alignment horizontal="right" vertical="center"/>
    </xf>
    <xf borderId="0" fillId="0" fontId="23" numFmtId="166" xfId="0" applyAlignment="1" applyFont="1" applyNumberFormat="1">
      <alignment horizontal="right" vertical="center"/>
    </xf>
    <xf borderId="11" fillId="3" fontId="10" numFmtId="0" xfId="0" applyAlignment="1" applyBorder="1" applyFont="1">
      <alignment horizontal="left" vertical="center"/>
    </xf>
    <xf borderId="0" fillId="4" fontId="15" numFmtId="167" xfId="0" applyAlignment="1" applyFont="1" applyNumberFormat="1">
      <alignment horizontal="right" vertical="center"/>
    </xf>
    <xf borderId="0" fillId="5" fontId="15" numFmtId="167" xfId="0" applyAlignment="1" applyFont="1" applyNumberFormat="1">
      <alignment horizontal="right" vertical="center"/>
    </xf>
    <xf borderId="0" fillId="14" fontId="15" numFmtId="166" xfId="0" applyAlignment="1" applyFont="1" applyNumberFormat="1">
      <alignment horizontal="right" vertical="center"/>
    </xf>
    <xf borderId="15" fillId="14" fontId="15" numFmtId="166" xfId="0" applyAlignment="1" applyBorder="1" applyFont="1" applyNumberFormat="1">
      <alignment horizontal="right" vertical="center"/>
    </xf>
    <xf borderId="11" fillId="3" fontId="3" numFmtId="0" xfId="0" applyAlignment="1" applyBorder="1" applyFont="1">
      <alignment horizontal="left" vertical="center"/>
    </xf>
    <xf borderId="0" fillId="3" fontId="15" numFmtId="166" xfId="0" applyAlignment="1" applyFont="1" applyNumberFormat="1">
      <alignment horizontal="right" vertical="center"/>
    </xf>
    <xf borderId="0" fillId="3" fontId="23" numFmtId="166" xfId="0" applyAlignment="1" applyFont="1" applyNumberFormat="1">
      <alignment horizontal="right" vertical="center"/>
    </xf>
    <xf borderId="0" fillId="4" fontId="24" numFmtId="167" xfId="0" applyAlignment="1" applyFont="1" applyNumberFormat="1">
      <alignment horizontal="right" vertical="center"/>
    </xf>
    <xf borderId="0" fillId="5" fontId="15" numFmtId="166" xfId="0" applyAlignment="1" applyFont="1" applyNumberFormat="1">
      <alignment horizontal="right" vertical="center"/>
    </xf>
    <xf borderId="0" fillId="15" fontId="15" numFmtId="166" xfId="0" applyAlignment="1" applyFill="1" applyFont="1" applyNumberFormat="1">
      <alignment horizontal="right" vertical="center"/>
    </xf>
    <xf borderId="24" fillId="16" fontId="15" numFmtId="169" xfId="0" applyAlignment="1" applyBorder="1" applyFill="1" applyFont="1" applyNumberFormat="1">
      <alignment horizontal="right" vertical="center"/>
    </xf>
    <xf borderId="15" fillId="6" fontId="15" numFmtId="166" xfId="0" applyAlignment="1" applyBorder="1" applyFont="1" applyNumberFormat="1">
      <alignment horizontal="right" vertical="center"/>
    </xf>
    <xf borderId="0" fillId="0" fontId="20" numFmtId="166" xfId="0" applyAlignment="1" applyFont="1" applyNumberFormat="1">
      <alignment horizontal="right" vertical="center"/>
    </xf>
    <xf borderId="0" fillId="0" fontId="8" numFmtId="0" xfId="0" applyAlignment="1" applyFont="1">
      <alignment horizontal="right" vertical="center"/>
    </xf>
    <xf borderId="25" fillId="3" fontId="10" numFmtId="0" xfId="0" applyAlignment="1" applyBorder="1" applyFont="1">
      <alignment horizontal="left" vertical="center"/>
    </xf>
    <xf borderId="0" fillId="17" fontId="15" numFmtId="169" xfId="0" applyAlignment="1" applyFill="1" applyFont="1" applyNumberFormat="1">
      <alignment horizontal="right" vertical="center"/>
    </xf>
    <xf borderId="24" fillId="3" fontId="15" numFmtId="169" xfId="0" applyAlignment="1" applyBorder="1" applyFont="1" applyNumberFormat="1">
      <alignment horizontal="right" vertical="center"/>
    </xf>
    <xf borderId="24" fillId="4" fontId="15" numFmtId="169" xfId="0" applyAlignment="1" applyBorder="1" applyFont="1" applyNumberFormat="1">
      <alignment horizontal="right" vertical="center"/>
    </xf>
    <xf borderId="24" fillId="5" fontId="15" numFmtId="169" xfId="0" applyAlignment="1" applyBorder="1" applyFont="1" applyNumberFormat="1">
      <alignment horizontal="right" vertical="center"/>
    </xf>
    <xf borderId="24" fillId="6" fontId="15" numFmtId="169" xfId="0" applyAlignment="1" applyBorder="1" applyFont="1" applyNumberFormat="1">
      <alignment horizontal="right" vertical="center"/>
    </xf>
    <xf borderId="26" fillId="6" fontId="15" numFmtId="169" xfId="0" applyAlignment="1" applyBorder="1" applyFont="1" applyNumberFormat="1">
      <alignment horizontal="right" vertical="center"/>
    </xf>
    <xf borderId="0" fillId="0" fontId="15" numFmtId="169" xfId="0" applyAlignment="1" applyFont="1" applyNumberFormat="1">
      <alignment horizontal="right" vertical="center"/>
    </xf>
    <xf borderId="0" fillId="0" fontId="11" numFmtId="169" xfId="0" applyAlignment="1" applyFont="1" applyNumberFormat="1">
      <alignment horizontal="right" vertical="center"/>
    </xf>
    <xf borderId="11" fillId="18" fontId="25" numFmtId="0" xfId="0" applyAlignment="1" applyBorder="1" applyFill="1" applyFont="1">
      <alignment horizontal="left" vertical="center"/>
    </xf>
    <xf borderId="0" fillId="18" fontId="2" numFmtId="169" xfId="0" applyAlignment="1" applyFont="1" applyNumberFormat="1">
      <alignment horizontal="right" vertical="center"/>
    </xf>
    <xf borderId="0" fillId="19" fontId="10" numFmtId="169" xfId="0" applyAlignment="1" applyFill="1" applyFont="1" applyNumberFormat="1">
      <alignment horizontal="right" vertical="center"/>
    </xf>
    <xf borderId="0" fillId="0" fontId="2" numFmtId="169" xfId="0" applyAlignment="1" applyFont="1" applyNumberFormat="1">
      <alignment horizontal="right" vertical="center"/>
    </xf>
    <xf borderId="0" fillId="2" fontId="10" numFmtId="169" xfId="0" applyAlignment="1" applyFont="1" applyNumberFormat="1">
      <alignment horizontal="right" vertical="center"/>
    </xf>
    <xf borderId="11" fillId="3" fontId="19" numFmtId="0" xfId="0" applyAlignment="1" applyBorder="1" applyFont="1">
      <alignment horizontal="left" vertical="center"/>
    </xf>
    <xf borderId="0" fillId="3" fontId="11" numFmtId="169" xfId="0" applyAlignment="1" applyFont="1" applyNumberFormat="1">
      <alignment horizontal="right" vertical="center"/>
    </xf>
    <xf borderId="0" fillId="7" fontId="11" numFmtId="169" xfId="0" applyAlignment="1" applyFont="1" applyNumberFormat="1">
      <alignment horizontal="right" vertical="center"/>
    </xf>
    <xf borderId="7" fillId="8" fontId="3" numFmtId="0" xfId="0" applyAlignment="1" applyBorder="1" applyFont="1">
      <alignment horizontal="left" vertical="center"/>
    </xf>
    <xf borderId="0" fillId="18" fontId="14" numFmtId="169" xfId="0" applyAlignment="1" applyFont="1" applyNumberFormat="1">
      <alignment horizontal="right" vertical="center"/>
    </xf>
    <xf borderId="23" fillId="18" fontId="14" numFmtId="169" xfId="0" applyAlignment="1" applyBorder="1" applyFont="1" applyNumberFormat="1">
      <alignment horizontal="right" readingOrder="0" vertical="center"/>
    </xf>
    <xf borderId="0" fillId="3" fontId="14" numFmtId="169" xfId="0" applyAlignment="1" applyFont="1" applyNumberFormat="1">
      <alignment horizontal="right" vertical="center"/>
    </xf>
    <xf borderId="0" fillId="8" fontId="14" numFmtId="169" xfId="0" applyAlignment="1" applyFont="1" applyNumberFormat="1">
      <alignment horizontal="right" vertical="center"/>
    </xf>
    <xf borderId="8" fillId="18" fontId="14" numFmtId="169" xfId="0" applyAlignment="1" applyBorder="1" applyFont="1" applyNumberFormat="1">
      <alignment horizontal="right" vertical="center"/>
    </xf>
    <xf borderId="23" fillId="18" fontId="14" numFmtId="169" xfId="0" applyAlignment="1" applyBorder="1" applyFont="1" applyNumberFormat="1">
      <alignment horizontal="right" vertical="center"/>
    </xf>
    <xf borderId="0" fillId="0" fontId="14" numFmtId="169" xfId="0" applyAlignment="1" applyFont="1" applyNumberFormat="1">
      <alignment horizontal="right" vertical="center"/>
    </xf>
    <xf borderId="15" fillId="18" fontId="14" numFmtId="169" xfId="0" applyAlignment="1" applyBorder="1" applyFont="1" applyNumberFormat="1">
      <alignment horizontal="right" vertical="center"/>
    </xf>
    <xf borderId="0" fillId="18" fontId="14" numFmtId="169" xfId="0" applyAlignment="1" applyFont="1" applyNumberFormat="1">
      <alignment horizontal="right" readingOrder="0" vertical="center"/>
    </xf>
    <xf borderId="11" fillId="8" fontId="2" numFmtId="0" xfId="0" applyAlignment="1" applyBorder="1" applyFont="1">
      <alignment horizontal="left" vertical="center"/>
    </xf>
    <xf borderId="15" fillId="18" fontId="14" numFmtId="167" xfId="0" applyAlignment="1" applyBorder="1" applyFont="1" applyNumberFormat="1">
      <alignment horizontal="right" vertical="center"/>
    </xf>
    <xf borderId="0" fillId="18" fontId="14" numFmtId="167" xfId="0" applyAlignment="1" applyFont="1" applyNumberFormat="1">
      <alignment horizontal="right" vertical="center"/>
    </xf>
    <xf borderId="0" fillId="0" fontId="14" numFmtId="167" xfId="0" applyAlignment="1" applyFont="1" applyNumberFormat="1">
      <alignment horizontal="right" vertical="center"/>
    </xf>
    <xf borderId="15" fillId="0" fontId="14" numFmtId="167" xfId="0" applyAlignment="1" applyBorder="1" applyFont="1" applyNumberFormat="1">
      <alignment horizontal="right" vertical="center"/>
    </xf>
    <xf borderId="15" fillId="0" fontId="21" numFmtId="164" xfId="0" applyAlignment="1" applyBorder="1" applyFont="1" applyNumberFormat="1">
      <alignment horizontal="right" vertical="center"/>
    </xf>
    <xf borderId="0" fillId="3" fontId="21" numFmtId="164" xfId="0" applyAlignment="1" applyFont="1" applyNumberFormat="1">
      <alignment horizontal="right" vertical="center"/>
    </xf>
    <xf borderId="0" fillId="0" fontId="21" numFmtId="164" xfId="0" applyAlignment="1" applyFont="1" applyNumberFormat="1">
      <alignment horizontal="right" vertical="center"/>
    </xf>
    <xf borderId="0" fillId="0" fontId="26" numFmtId="164" xfId="0" applyAlignment="1" applyFont="1" applyNumberFormat="1">
      <alignment horizontal="right" vertical="center"/>
    </xf>
    <xf borderId="0" fillId="8" fontId="14" numFmtId="169" xfId="0" applyAlignment="1" applyFont="1" applyNumberFormat="1">
      <alignment horizontal="right" readingOrder="0" vertical="center"/>
    </xf>
    <xf borderId="0" fillId="20" fontId="14" numFmtId="169" xfId="0" applyAlignment="1" applyFill="1" applyFont="1" applyNumberFormat="1">
      <alignment horizontal="right" vertical="center"/>
    </xf>
    <xf borderId="0" fillId="20" fontId="14" numFmtId="169" xfId="0" applyAlignment="1" applyFont="1" applyNumberFormat="1">
      <alignment horizontal="right" readingOrder="0" vertical="center"/>
    </xf>
    <xf borderId="0" fillId="21" fontId="27" numFmtId="169" xfId="0" applyAlignment="1" applyFill="1" applyFont="1" applyNumberFormat="1">
      <alignment horizontal="right" vertical="center"/>
    </xf>
    <xf borderId="0" fillId="21" fontId="14" numFmtId="169" xfId="0" applyAlignment="1" applyFont="1" applyNumberFormat="1">
      <alignment horizontal="right" vertical="center"/>
    </xf>
    <xf borderId="25" fillId="8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7" numFmtId="169" xfId="0" applyAlignment="1" applyFont="1" applyNumberFormat="1">
      <alignment horizontal="right" vertical="center"/>
    </xf>
    <xf borderId="0" fillId="0" fontId="28" numFmtId="0" xfId="0" applyFont="1"/>
    <xf borderId="0" fillId="0" fontId="28" numFmtId="166" xfId="0" applyFont="1" applyNumberFormat="1"/>
    <xf borderId="0" fillId="0" fontId="29" numFmtId="0" xfId="0" applyAlignment="1" applyFont="1">
      <alignment horizontal="left" shrinkToFit="0" vertical="center" wrapText="0"/>
    </xf>
    <xf borderId="0" fillId="0" fontId="17" numFmtId="166" xfId="0" applyAlignment="1" applyFont="1" applyNumberFormat="1">
      <alignment horizontal="right" shrinkToFit="0" vertical="center" wrapText="0"/>
    </xf>
    <xf borderId="0" fillId="0" fontId="30" numFmtId="166" xfId="0" applyFont="1" applyNumberFormat="1"/>
    <xf borderId="0" fillId="0" fontId="30" numFmtId="169" xfId="0" applyFont="1" applyNumberFormat="1"/>
    <xf borderId="0" fillId="0" fontId="28" numFmtId="169" xfId="0" applyFont="1" applyNumberFormat="1"/>
    <xf borderId="0" fillId="7" fontId="28" numFmtId="166" xfId="0" applyFont="1" applyNumberFormat="1"/>
    <xf borderId="0" fillId="0" fontId="31" numFmtId="0" xfId="0" applyAlignment="1" applyFont="1">
      <alignment shrinkToFit="0" vertical="center" wrapText="0"/>
    </xf>
    <xf borderId="0" fillId="7" fontId="31" numFmtId="0" xfId="0" applyAlignment="1" applyFont="1">
      <alignment horizontal="center" shrinkToFit="0" vertical="center" wrapText="0"/>
    </xf>
    <xf borderId="0" fillId="0" fontId="14" numFmtId="166" xfId="0" applyAlignment="1" applyFont="1" applyNumberFormat="1">
      <alignment horizontal="center" shrinkToFit="0" vertical="center" wrapText="0"/>
    </xf>
    <xf borderId="0" fillId="22" fontId="14" numFmtId="169" xfId="0" applyAlignment="1" applyFill="1" applyFont="1" applyNumberFormat="1">
      <alignment shrinkToFit="0" vertical="center" wrapText="0"/>
    </xf>
    <xf borderId="0" fillId="7" fontId="31" numFmtId="0" xfId="0" applyAlignment="1" applyFont="1">
      <alignment shrinkToFit="0" vertical="center" wrapText="0"/>
    </xf>
    <xf borderId="0" fillId="7" fontId="31" numFmtId="168" xfId="0" applyAlignment="1" applyFont="1" applyNumberFormat="1">
      <alignment horizontal="center" shrinkToFit="0" vertical="center" wrapText="0"/>
    </xf>
    <xf borderId="0" fillId="0" fontId="29" numFmtId="166" xfId="0" applyAlignment="1" applyFont="1" applyNumberFormat="1">
      <alignment horizontal="left" shrinkToFit="0" vertical="center" wrapText="0"/>
    </xf>
    <xf borderId="0" fillId="0" fontId="29" numFmtId="169" xfId="0" applyAlignment="1" applyFont="1" applyNumberFormat="1">
      <alignment horizontal="left" shrinkToFit="0" vertical="center" wrapText="0"/>
    </xf>
    <xf borderId="27" fillId="23" fontId="28" numFmtId="0" xfId="0" applyBorder="1" applyFill="1" applyFont="1"/>
    <xf borderId="0" fillId="0" fontId="28" numFmtId="0" xfId="0" applyFont="1"/>
    <xf borderId="25" fillId="7" fontId="32" numFmtId="169" xfId="0" applyAlignment="1" applyBorder="1" applyFont="1" applyNumberFormat="1">
      <alignment shrinkToFit="0" vertical="center" wrapText="0"/>
    </xf>
    <xf borderId="26" fillId="7" fontId="32" numFmtId="166" xfId="0" applyAlignment="1" applyBorder="1" applyFont="1" applyNumberFormat="1">
      <alignment shrinkToFit="0" vertical="center" wrapText="0"/>
    </xf>
    <xf borderId="26" fillId="7" fontId="32" numFmtId="169" xfId="0" applyAlignment="1" applyBorder="1" applyFont="1" applyNumberFormat="1">
      <alignment shrinkToFit="0" vertical="center" wrapText="0"/>
    </xf>
    <xf borderId="26" fillId="7" fontId="31" numFmtId="169" xfId="0" applyAlignment="1" applyBorder="1" applyFont="1" applyNumberFormat="1">
      <alignment shrinkToFit="0" vertical="center" wrapText="0"/>
    </xf>
    <xf borderId="27" fillId="0" fontId="31" numFmtId="169" xfId="0" applyAlignment="1" applyBorder="1" applyFont="1" applyNumberFormat="1">
      <alignment shrinkToFit="0" vertical="center" wrapText="0"/>
    </xf>
    <xf borderId="20" fillId="0" fontId="28" numFmtId="169" xfId="0" applyBorder="1" applyFont="1" applyNumberFormat="1"/>
    <xf borderId="0" fillId="24" fontId="32" numFmtId="169" xfId="0" applyAlignment="1" applyFill="1" applyFont="1" applyNumberFormat="1">
      <alignment shrinkToFit="0" vertical="center" wrapText="0"/>
    </xf>
    <xf borderId="0" fillId="24" fontId="32" numFmtId="166" xfId="0" applyAlignment="1" applyFont="1" applyNumberFormat="1">
      <alignment shrinkToFit="0" vertical="center" wrapText="0"/>
    </xf>
    <xf borderId="0" fillId="7" fontId="31" numFmtId="169" xfId="0" applyAlignment="1" applyFont="1" applyNumberFormat="1">
      <alignment shrinkToFit="0" vertical="center" wrapText="0"/>
    </xf>
    <xf borderId="0" fillId="0" fontId="31" numFmtId="169" xfId="0" applyAlignment="1" applyFont="1" applyNumberFormat="1">
      <alignment shrinkToFit="0" vertical="center" wrapText="0"/>
    </xf>
    <xf borderId="0" fillId="11" fontId="32" numFmtId="169" xfId="0" applyAlignment="1" applyFont="1" applyNumberFormat="1">
      <alignment shrinkToFit="0" vertical="center" wrapText="0"/>
    </xf>
    <xf borderId="0" fillId="11" fontId="32" numFmtId="166" xfId="0" applyAlignment="1" applyFont="1" applyNumberFormat="1">
      <alignment shrinkToFit="0" vertical="center" wrapText="0"/>
    </xf>
    <xf borderId="0" fillId="21" fontId="32" numFmtId="169" xfId="0" applyAlignment="1" applyFont="1" applyNumberFormat="1">
      <alignment shrinkToFit="0" vertical="center" wrapText="0"/>
    </xf>
    <xf borderId="0" fillId="8" fontId="31" numFmtId="169" xfId="0" applyAlignment="1" applyFont="1" applyNumberFormat="1">
      <alignment shrinkToFit="0" vertical="center" wrapText="0"/>
    </xf>
    <xf borderId="0" fillId="7" fontId="28" numFmtId="0" xfId="0" applyFont="1"/>
    <xf borderId="0" fillId="7" fontId="28" numFmtId="169" xfId="0" applyFont="1" applyNumberFormat="1"/>
    <xf borderId="0" fillId="7" fontId="31" numFmtId="168" xfId="0" applyAlignment="1" applyFont="1" applyNumberFormat="1">
      <alignment shrinkToFit="0" vertical="center" wrapText="0"/>
    </xf>
    <xf borderId="0" fillId="7" fontId="31" numFmtId="170" xfId="0" applyAlignment="1" applyFont="1" applyNumberFormat="1">
      <alignment shrinkToFit="0" vertical="center" wrapText="0"/>
    </xf>
    <xf borderId="0" fillId="7" fontId="31" numFmtId="171" xfId="0" applyAlignment="1" applyFont="1" applyNumberFormat="1">
      <alignment shrinkToFit="0" vertical="center" wrapText="0"/>
    </xf>
    <xf borderId="0" fillId="7" fontId="31" numFmtId="172" xfId="0" applyAlignment="1" applyFont="1" applyNumberFormat="1">
      <alignment shrinkToFit="0" vertical="center" wrapText="0"/>
    </xf>
    <xf borderId="0" fillId="7" fontId="31" numFmtId="173" xfId="0" applyAlignment="1" applyFont="1" applyNumberFormat="1">
      <alignment shrinkToFit="0" vertical="center" wrapText="0"/>
    </xf>
    <xf borderId="0" fillId="0" fontId="31" numFmtId="168" xfId="0" applyAlignment="1" applyFont="1" applyNumberFormat="1">
      <alignment shrinkToFit="0" vertical="center" wrapText="0"/>
    </xf>
    <xf borderId="0" fillId="21" fontId="6" numFmtId="165" xfId="0" applyAlignment="1" applyFont="1" applyNumberFormat="1">
      <alignment horizontal="right" vertical="bottom"/>
    </xf>
    <xf borderId="8" fillId="21" fontId="6" numFmtId="0" xfId="0" applyAlignment="1" applyBorder="1" applyFont="1">
      <alignment horizontal="right" vertical="bottom"/>
    </xf>
    <xf borderId="0" fillId="25" fontId="15" numFmtId="167" xfId="0" applyAlignment="1" applyFill="1" applyFont="1" applyNumberFormat="1">
      <alignment horizontal="right" vertical="center"/>
    </xf>
    <xf borderId="0" fillId="15" fontId="16" numFmtId="166" xfId="0" applyAlignment="1" applyFont="1" applyNumberFormat="1">
      <alignment horizontal="right" vertical="center"/>
    </xf>
    <xf borderId="0" fillId="4" fontId="15" numFmtId="166" xfId="0" applyAlignment="1" applyFont="1" applyNumberFormat="1">
      <alignment horizontal="right" vertical="center"/>
    </xf>
    <xf borderId="0" fillId="26" fontId="15" numFmtId="166" xfId="0" applyAlignment="1" applyFill="1" applyFont="1" applyNumberFormat="1">
      <alignment horizontal="right" vertical="center"/>
    </xf>
    <xf borderId="0" fillId="25" fontId="15" numFmtId="166" xfId="0" applyAlignment="1" applyFont="1" applyNumberFormat="1">
      <alignment horizontal="right" vertical="center"/>
    </xf>
    <xf borderId="7" fillId="27" fontId="22" numFmtId="0" xfId="0" applyAlignment="1" applyBorder="1" applyFill="1" applyFont="1">
      <alignment horizontal="left" vertical="center"/>
    </xf>
    <xf borderId="8" fillId="27" fontId="15" numFmtId="167" xfId="0" applyAlignment="1" applyBorder="1" applyFont="1" applyNumberFormat="1">
      <alignment horizontal="right" vertical="center"/>
    </xf>
    <xf borderId="8" fillId="28" fontId="15" numFmtId="167" xfId="0" applyAlignment="1" applyBorder="1" applyFill="1" applyFont="1" applyNumberFormat="1">
      <alignment horizontal="right" vertical="center"/>
    </xf>
    <xf borderId="11" fillId="27" fontId="10" numFmtId="0" xfId="0" applyAlignment="1" applyBorder="1" applyFont="1">
      <alignment horizontal="left" vertical="center"/>
    </xf>
    <xf borderId="0" fillId="27" fontId="15" numFmtId="167" xfId="0" applyAlignment="1" applyFont="1" applyNumberFormat="1">
      <alignment horizontal="right" vertical="center"/>
    </xf>
    <xf borderId="0" fillId="28" fontId="15" numFmtId="167" xfId="0" applyAlignment="1" applyFont="1" applyNumberFormat="1">
      <alignment horizontal="right" vertical="center"/>
    </xf>
    <xf borderId="11" fillId="27" fontId="3" numFmtId="0" xfId="0" applyAlignment="1" applyBorder="1" applyFont="1">
      <alignment horizontal="left" vertical="center"/>
    </xf>
    <xf borderId="0" fillId="27" fontId="15" numFmtId="166" xfId="0" applyAlignment="1" applyFont="1" applyNumberFormat="1">
      <alignment horizontal="right" vertical="center"/>
    </xf>
    <xf borderId="0" fillId="27" fontId="23" numFmtId="166" xfId="0" applyAlignment="1" applyFont="1" applyNumberFormat="1">
      <alignment horizontal="right" vertical="center"/>
    </xf>
    <xf borderId="0" fillId="29" fontId="15" numFmtId="166" xfId="0" applyAlignment="1" applyFill="1" applyFont="1" applyNumberFormat="1">
      <alignment horizontal="right" vertical="center"/>
    </xf>
    <xf borderId="0" fillId="29" fontId="24" numFmtId="167" xfId="0" applyAlignment="1" applyFont="1" applyNumberFormat="1">
      <alignment horizontal="right" vertical="center"/>
    </xf>
    <xf borderId="0" fillId="6" fontId="15" numFmtId="166" xfId="0" applyAlignment="1" applyFont="1" applyNumberFormat="1">
      <alignment horizontal="right" vertical="center"/>
    </xf>
    <xf borderId="0" fillId="16" fontId="15" numFmtId="167" xfId="0" applyAlignment="1" applyFont="1" applyNumberFormat="1">
      <alignment horizontal="right" vertical="center"/>
    </xf>
    <xf borderId="25" fillId="27" fontId="10" numFmtId="0" xfId="0" applyAlignment="1" applyBorder="1" applyFont="1">
      <alignment horizontal="left" vertical="center"/>
    </xf>
    <xf borderId="24" fillId="17" fontId="15" numFmtId="169" xfId="0" applyAlignment="1" applyBorder="1" applyFont="1" applyNumberFormat="1">
      <alignment horizontal="right" vertical="center"/>
    </xf>
    <xf borderId="24" fillId="27" fontId="15" numFmtId="169" xfId="0" applyAlignment="1" applyBorder="1" applyFont="1" applyNumberFormat="1">
      <alignment horizontal="right" vertical="center"/>
    </xf>
    <xf borderId="24" fillId="30" fontId="15" numFmtId="169" xfId="0" applyAlignment="1" applyBorder="1" applyFill="1" applyFont="1" applyNumberFormat="1">
      <alignment horizontal="right" vertical="center"/>
    </xf>
    <xf borderId="26" fillId="17" fontId="15" numFmtId="169" xfId="0" applyAlignment="1" applyBorder="1" applyFont="1" applyNumberFormat="1">
      <alignment horizontal="right" vertical="center"/>
    </xf>
    <xf borderId="24" fillId="8" fontId="14" numFmtId="169" xfId="0" applyAlignment="1" applyBorder="1" applyFont="1" applyNumberFormat="1">
      <alignment horizontal="righ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Despesas-style">
      <tableStyleElement dxfId="1" type="headerRow"/>
      <tableStyleElement dxfId="2" type="firstRowStripe"/>
      <tableStyleElement dxfId="3" type="secondRowStripe"/>
    </tableStyle>
    <tableStyle count="3" pivot="0" name="Despesas-style 2">
      <tableStyleElement dxfId="1" type="headerRow"/>
      <tableStyleElement dxfId="2" type="firstRowStripe"/>
      <tableStyleElement dxfId="3" type="secondRowStripe"/>
    </tableStyle>
    <tableStyle count="3" pivot="0" name="Despesas-style 3">
      <tableStyleElement dxfId="1" type="headerRow"/>
      <tableStyleElement dxfId="2" type="firstRowStripe"/>
      <tableStyleElement dxfId="3" type="secondRowStripe"/>
    </tableStyle>
    <tableStyle count="3" pivot="0" name="Despesas-style 4">
      <tableStyleElement dxfId="1" type="headerRow"/>
      <tableStyleElement dxfId="2" type="firstRowStripe"/>
      <tableStyleElement dxfId="3" type="secondRowStripe"/>
    </tableStyle>
    <tableStyle count="3" pivot="0" name="Troika-style">
      <tableStyleElement dxfId="1" type="headerRow"/>
      <tableStyleElement dxfId="2" type="firstRowStripe"/>
      <tableStyleElement dxfId="3" type="secondRowStripe"/>
    </tableStyle>
    <tableStyle count="3" pivot="0" name="Troika-style 2">
      <tableStyleElement dxfId="1" type="headerRow"/>
      <tableStyleElement dxfId="2" type="firstRowStripe"/>
      <tableStyleElement dxfId="3" type="secondRowStripe"/>
    </tableStyle>
    <tableStyle count="3" pivot="0" name="Troika-style 3">
      <tableStyleElement dxfId="1" type="headerRow"/>
      <tableStyleElement dxfId="2" type="firstRowStripe"/>
      <tableStyleElement dxfId="3" type="secondRowStripe"/>
    </tableStyle>
    <tableStyle count="3" pivot="0" name="Troika-style 4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R6:S14" displayName="Table_1" name="Table_1" id="1">
  <tableColumns count="2">
    <tableColumn name="Mes limite" id="1"/>
    <tableColumn name="Metas:" id="2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C48:G99" displayName="Table_2" name="Table_2" id="2">
  <tableColumns count="5">
    <tableColumn name="forma de pagamento" id="1"/>
    <tableColumn name="Data" id="2"/>
    <tableColumn name="Compras" id="3"/>
    <tableColumn name="Valor" id="4"/>
    <tableColumn name="Categoria" id="5"/>
  </tableColumns>
  <tableStyleInfo name="Despesas-style 2" showColumnStripes="0" showFirstColumn="1" showLastColumn="1" showRowStripes="1"/>
</table>
</file>

<file path=xl/tables/table3.xml><?xml version="1.0" encoding="utf-8"?>
<table xmlns="http://schemas.openxmlformats.org/spreadsheetml/2006/main" ref="I52:O55" displayName="Table_3" name="Table_3" id="3">
  <tableColumns count="7">
    <tableColumn name="Alimentação" id="1"/>
    <tableColumn name="Column 1" id="2"/>
    <tableColumn name="Lazer" id="3"/>
    <tableColumn name="Uber" id="4"/>
    <tableColumn name="Roupa" id="5"/>
    <tableColumn name="Itens" id="6"/>
    <tableColumn name="Pet" id="7"/>
  </tableColumns>
  <tableStyleInfo name="Despesas-style 3" showColumnStripes="0" showFirstColumn="1" showLastColumn="1" showRowStripes="1"/>
</table>
</file>

<file path=xl/tables/table4.xml><?xml version="1.0" encoding="utf-8"?>
<table xmlns="http://schemas.openxmlformats.org/spreadsheetml/2006/main" ref="I59:P72" displayName="Table_4" name="Table_4" id="4">
  <tableColumns count="8">
    <tableColumn name="Column 1" id="1"/>
    <tableColumn name="Alimentação" id="2"/>
    <tableColumn name="Lazer" id="3"/>
    <tableColumn name="Uber" id="4"/>
    <tableColumn name="Roupas" id="5"/>
    <tableColumn name="Itens" id="6"/>
    <tableColumn name="Pets" id="7"/>
    <tableColumn name="OBS" id="8"/>
  </tableColumns>
  <tableStyleInfo name="Despesas-style 4" showColumnStripes="0" showFirstColumn="1" showLastColumn="1" showRowStripes="1"/>
</table>
</file>

<file path=xl/tables/table5.xml><?xml version="1.0" encoding="utf-8"?>
<table xmlns="http://schemas.openxmlformats.org/spreadsheetml/2006/main" ref="R6:S14" displayName="Table_5" name="Table_5" id="5">
  <tableColumns count="2">
    <tableColumn name="Mes limite" id="1"/>
    <tableColumn name="Metas:" id="2"/>
  </tableColumns>
  <tableStyleInfo name="Troika-style" showColumnStripes="0" showFirstColumn="1" showLastColumn="1" showRowStripes="1"/>
</table>
</file>

<file path=xl/tables/table6.xml><?xml version="1.0" encoding="utf-8"?>
<table xmlns="http://schemas.openxmlformats.org/spreadsheetml/2006/main" ref="C48:G99" displayName="Table_6" name="Table_6" id="6">
  <tableColumns count="5">
    <tableColumn name="forma de pagamento" id="1"/>
    <tableColumn name="Data" id="2"/>
    <tableColumn name="Compras" id="3"/>
    <tableColumn name="Valor" id="4"/>
    <tableColumn name="Categoria" id="5"/>
  </tableColumns>
  <tableStyleInfo name="Troika-style 2" showColumnStripes="0" showFirstColumn="1" showLastColumn="1" showRowStripes="1"/>
</table>
</file>

<file path=xl/tables/table7.xml><?xml version="1.0" encoding="utf-8"?>
<table xmlns="http://schemas.openxmlformats.org/spreadsheetml/2006/main" ref="I52:O55" displayName="Table_7" name="Table_7" id="7">
  <tableColumns count="7">
    <tableColumn name="Alimentação" id="1"/>
    <tableColumn name="Column 1" id="2"/>
    <tableColumn name="Lazer" id="3"/>
    <tableColumn name="Uber" id="4"/>
    <tableColumn name="Roupa" id="5"/>
    <tableColumn name="Itens" id="6"/>
    <tableColumn name="Pet" id="7"/>
  </tableColumns>
  <tableStyleInfo name="Troika-style 3" showColumnStripes="0" showFirstColumn="1" showLastColumn="1" showRowStripes="1"/>
</table>
</file>

<file path=xl/tables/table8.xml><?xml version="1.0" encoding="utf-8"?>
<table xmlns="http://schemas.openxmlformats.org/spreadsheetml/2006/main" ref="I59:P72" displayName="Table_8" name="Table_8" id="8">
  <tableColumns count="8">
    <tableColumn name="Column 1" id="1"/>
    <tableColumn name="Alimentação" id="2"/>
    <tableColumn name="Lazer" id="3"/>
    <tableColumn name="Uber" id="4"/>
    <tableColumn name="Roupas" id="5"/>
    <tableColumn name="Itens" id="6"/>
    <tableColumn name="Pets" id="7"/>
    <tableColumn name="OBS" id="8"/>
  </tableColumns>
  <tableStyleInfo name="Troika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8.13"/>
    <col customWidth="1" min="3" max="3" width="31.63"/>
    <col customWidth="1" min="4" max="4" width="9.63"/>
    <col customWidth="1" min="5" max="5" width="11.63"/>
    <col customWidth="1" min="6" max="6" width="8.38"/>
    <col customWidth="1" min="7" max="7" width="10.5"/>
    <col customWidth="1" min="8" max="8" width="9.0"/>
    <col customWidth="1" min="9" max="9" width="8.63"/>
    <col customWidth="1" min="10" max="10" width="10.5"/>
    <col customWidth="1" min="11" max="11" width="9.88"/>
    <col customWidth="1" min="12" max="12" width="10.13"/>
    <col customWidth="1" min="13" max="13" width="8.88"/>
    <col customWidth="1" min="14" max="15" width="9.5"/>
    <col customWidth="1" min="16" max="16" width="11.13"/>
    <col customWidth="1" min="17" max="17" width="8.88"/>
    <col customWidth="1" min="18" max="18" width="15.0"/>
    <col customWidth="1" min="19" max="19" width="36.63"/>
    <col customWidth="1" min="20" max="20" width="10.75"/>
    <col customWidth="1" min="21" max="21" width="11.0"/>
    <col customWidth="1" min="23" max="23" width="10.88"/>
    <col customWidth="1" min="24" max="24" width="9.0"/>
    <col customWidth="1" min="26" max="26" width="12.25"/>
  </cols>
  <sheetData>
    <row r="1" ht="24.75" customHeight="1">
      <c r="A1" s="1" t="s">
        <v>0</v>
      </c>
      <c r="B1" s="1" t="s">
        <v>1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7"/>
    </row>
    <row r="2" ht="38.25" customHeight="1">
      <c r="A2" s="8"/>
      <c r="B2" s="9"/>
      <c r="C2" s="10" t="s">
        <v>2</v>
      </c>
      <c r="D2" s="11">
        <v>36556.0</v>
      </c>
      <c r="E2" s="12">
        <v>36557.0</v>
      </c>
      <c r="F2" s="12">
        <v>36586.0</v>
      </c>
      <c r="G2" s="11">
        <v>36617.0</v>
      </c>
      <c r="H2" s="13" t="s">
        <v>3</v>
      </c>
      <c r="I2" s="11">
        <v>36678.0</v>
      </c>
      <c r="J2" s="14" t="s">
        <v>4</v>
      </c>
      <c r="K2" s="15">
        <v>36739.0</v>
      </c>
      <c r="L2" s="15">
        <v>36770.0</v>
      </c>
      <c r="M2" s="16">
        <v>36800.0</v>
      </c>
      <c r="N2" s="16">
        <v>36831.0</v>
      </c>
      <c r="O2" s="16">
        <v>36890.0</v>
      </c>
      <c r="P2" s="17" t="s">
        <v>5</v>
      </c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24.0" customHeight="1">
      <c r="A3" s="20" t="s">
        <v>6</v>
      </c>
      <c r="B3" s="21"/>
      <c r="C3" s="22" t="s">
        <v>7</v>
      </c>
      <c r="D3" s="23">
        <f t="shared" ref="D3:H3" si="1">SUM(D4:D17)</f>
        <v>8373.8</v>
      </c>
      <c r="E3" s="23">
        <f t="shared" si="1"/>
        <v>6940.8</v>
      </c>
      <c r="F3" s="23">
        <f t="shared" si="1"/>
        <v>6652.8</v>
      </c>
      <c r="G3" s="23">
        <f t="shared" si="1"/>
        <v>6876.8</v>
      </c>
      <c r="H3" s="23">
        <f t="shared" si="1"/>
        <v>6652.8</v>
      </c>
      <c r="I3" s="23"/>
      <c r="J3" s="24">
        <f t="shared" ref="J3:O3" si="2">SUM(J4:J17)</f>
        <v>7320.6</v>
      </c>
      <c r="K3" s="23">
        <f t="shared" si="2"/>
        <v>3553.4</v>
      </c>
      <c r="L3" s="23">
        <f t="shared" si="2"/>
        <v>7712</v>
      </c>
      <c r="M3" s="24">
        <f t="shared" si="2"/>
        <v>7395</v>
      </c>
      <c r="N3" s="24">
        <f t="shared" si="2"/>
        <v>7687</v>
      </c>
      <c r="O3" s="24">
        <f t="shared" si="2"/>
        <v>4217.6</v>
      </c>
      <c r="P3" s="25" t="s">
        <v>8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19.5" customHeight="1">
      <c r="A4" s="26">
        <v>6.4</v>
      </c>
      <c r="B4" s="27"/>
      <c r="C4" s="28" t="s">
        <v>9</v>
      </c>
      <c r="D4" s="29">
        <f>(250*A4)</f>
        <v>1600</v>
      </c>
      <c r="E4" s="29">
        <f>(250*A4)</f>
        <v>1600</v>
      </c>
      <c r="F4" s="29">
        <f>(250*A4)</f>
        <v>1600</v>
      </c>
      <c r="G4" s="29">
        <f>(250*A4)</f>
        <v>1600</v>
      </c>
      <c r="H4" s="29">
        <f>(250*A4)</f>
        <v>1600</v>
      </c>
      <c r="I4" s="30"/>
      <c r="J4" s="31"/>
      <c r="K4" s="32">
        <f>(200*A4)</f>
        <v>1280</v>
      </c>
      <c r="L4" s="32">
        <f>(200*A4)</f>
        <v>1280</v>
      </c>
      <c r="M4" s="32">
        <f>(200*A4)</f>
        <v>1280</v>
      </c>
      <c r="N4" s="32">
        <f>(200*A4)</f>
        <v>1280</v>
      </c>
      <c r="O4" s="32">
        <f>(200*A4)</f>
        <v>1280</v>
      </c>
      <c r="P4" s="33" t="s">
        <v>10</v>
      </c>
      <c r="Q4" s="34"/>
      <c r="R4" s="35"/>
      <c r="S4" s="36"/>
      <c r="T4" s="34"/>
      <c r="U4" s="34"/>
      <c r="V4" s="34"/>
      <c r="W4" s="34"/>
      <c r="X4" s="34"/>
      <c r="Y4" s="34"/>
      <c r="Z4" s="34"/>
      <c r="AA4" s="34"/>
      <c r="AB4" s="34"/>
    </row>
    <row r="5" ht="19.5" customHeight="1">
      <c r="A5" s="26"/>
      <c r="B5" s="27"/>
      <c r="C5" s="37" t="s">
        <v>11</v>
      </c>
      <c r="D5" s="38">
        <v>1355.0</v>
      </c>
      <c r="E5" s="39">
        <v>64.0</v>
      </c>
      <c r="F5" s="40"/>
      <c r="G5" s="41"/>
      <c r="H5" s="31"/>
      <c r="I5" s="30"/>
      <c r="J5" s="32">
        <v>3344.0</v>
      </c>
      <c r="K5" s="32">
        <v>2846.0</v>
      </c>
      <c r="L5" s="32">
        <v>2761.0</v>
      </c>
      <c r="M5" s="32">
        <v>2761.0</v>
      </c>
      <c r="N5" s="42">
        <v>1739.0</v>
      </c>
      <c r="O5" s="42">
        <v>1643.0</v>
      </c>
      <c r="P5" s="43">
        <f>(J5+K5+L5+M5+N5+O5)</f>
        <v>15094</v>
      </c>
      <c r="Q5" s="34"/>
      <c r="R5" s="35"/>
      <c r="S5" s="36"/>
      <c r="T5" s="34"/>
      <c r="U5" s="34"/>
      <c r="V5" s="34"/>
      <c r="W5" s="34"/>
      <c r="X5" s="34"/>
      <c r="Y5" s="34"/>
      <c r="Z5" s="34"/>
      <c r="AA5" s="34"/>
      <c r="AB5" s="34"/>
    </row>
    <row r="6" ht="19.5" customHeight="1">
      <c r="A6" s="44"/>
      <c r="B6" s="27"/>
      <c r="C6" s="28" t="s">
        <v>12</v>
      </c>
      <c r="D6" s="29" t="s">
        <v>13</v>
      </c>
      <c r="E6" s="45"/>
      <c r="F6" s="45"/>
      <c r="G6" s="45"/>
      <c r="H6" s="31"/>
      <c r="I6" s="30"/>
      <c r="J6" s="31"/>
      <c r="K6" s="42">
        <v>2220.0</v>
      </c>
      <c r="L6" s="42">
        <v>1527.0</v>
      </c>
      <c r="M6" s="42">
        <v>986.0</v>
      </c>
      <c r="N6" s="42">
        <v>768.0</v>
      </c>
      <c r="O6" s="42">
        <v>633.0</v>
      </c>
      <c r="P6" s="46">
        <f>(I6+J6+K6+L6+M6+N6+O6)</f>
        <v>6134</v>
      </c>
      <c r="Q6" s="34"/>
      <c r="R6" s="47" t="s">
        <v>14</v>
      </c>
      <c r="S6" s="47" t="s">
        <v>15</v>
      </c>
      <c r="T6" s="48"/>
      <c r="U6" s="34"/>
      <c r="V6" s="34"/>
      <c r="W6" s="34"/>
      <c r="X6" s="34"/>
      <c r="Y6" s="34"/>
      <c r="Z6" s="34"/>
      <c r="AA6" s="34"/>
      <c r="AB6" s="34"/>
    </row>
    <row r="7" ht="19.5" customHeight="1">
      <c r="A7" s="44"/>
      <c r="B7" s="49"/>
      <c r="C7" s="28" t="s">
        <v>16</v>
      </c>
      <c r="D7" s="29" t="s">
        <v>13</v>
      </c>
      <c r="E7" s="45"/>
      <c r="F7" s="41"/>
      <c r="G7" s="41"/>
      <c r="H7" s="41"/>
      <c r="I7" s="30"/>
      <c r="J7" s="42">
        <v>1041.0</v>
      </c>
      <c r="K7" s="40"/>
      <c r="L7" s="45"/>
      <c r="M7" s="45"/>
      <c r="N7" s="45"/>
      <c r="O7" s="45"/>
      <c r="P7" s="43">
        <f>(J7+K7+L7+M7+N7+O7)</f>
        <v>1041</v>
      </c>
      <c r="Q7" s="34"/>
      <c r="R7" s="50" t="s">
        <v>17</v>
      </c>
      <c r="S7" s="51" t="s">
        <v>18</v>
      </c>
      <c r="T7" s="34"/>
      <c r="U7" s="34"/>
      <c r="V7" s="34"/>
      <c r="W7" s="34"/>
      <c r="X7" s="34"/>
      <c r="Y7" s="34"/>
      <c r="Z7" s="34"/>
      <c r="AA7" s="34"/>
      <c r="AB7" s="34"/>
    </row>
    <row r="8" ht="19.5" customHeight="1">
      <c r="A8" s="44"/>
      <c r="B8" s="49"/>
      <c r="C8" s="22" t="s">
        <v>19</v>
      </c>
      <c r="D8" s="38">
        <v>550.0</v>
      </c>
      <c r="E8" s="38">
        <v>550.0</v>
      </c>
      <c r="F8" s="38">
        <v>550.0</v>
      </c>
      <c r="G8" s="38">
        <v>550.0</v>
      </c>
      <c r="H8" s="38">
        <v>550.0</v>
      </c>
      <c r="I8" s="40"/>
      <c r="J8" s="45"/>
      <c r="K8" s="29">
        <v>550.0</v>
      </c>
      <c r="L8" s="29">
        <v>550.0</v>
      </c>
      <c r="M8" s="29">
        <v>550.0</v>
      </c>
      <c r="N8" s="29">
        <v>550.0</v>
      </c>
      <c r="O8" s="29">
        <v>550.0</v>
      </c>
      <c r="P8" s="43"/>
      <c r="Q8" s="34"/>
      <c r="R8" s="50" t="s">
        <v>20</v>
      </c>
      <c r="S8" s="51" t="s">
        <v>21</v>
      </c>
      <c r="T8" s="34"/>
      <c r="U8" s="34"/>
      <c r="V8" s="34"/>
      <c r="W8" s="34"/>
      <c r="X8" s="34"/>
      <c r="Y8" s="34"/>
      <c r="Z8" s="34"/>
      <c r="AA8" s="34"/>
      <c r="AB8" s="34"/>
    </row>
    <row r="9" ht="19.5" customHeight="1">
      <c r="A9" s="44"/>
      <c r="B9" s="49"/>
      <c r="C9" s="22" t="s">
        <v>22</v>
      </c>
      <c r="D9" s="29" t="s">
        <v>13</v>
      </c>
      <c r="E9" s="45"/>
      <c r="F9" s="41"/>
      <c r="G9" s="41"/>
      <c r="H9" s="45"/>
      <c r="I9" s="52"/>
      <c r="J9" s="45"/>
      <c r="K9" s="45"/>
      <c r="L9" s="45"/>
      <c r="M9" s="45"/>
      <c r="N9" s="45"/>
      <c r="O9" s="45"/>
      <c r="P9" s="43">
        <f>(G9+H9+I9+J9+K9+L9+M9+N9+O9)</f>
        <v>0</v>
      </c>
      <c r="Q9" s="34"/>
      <c r="R9" s="50" t="s">
        <v>20</v>
      </c>
      <c r="S9" s="53" t="s">
        <v>23</v>
      </c>
      <c r="T9" s="34"/>
      <c r="U9" s="34"/>
      <c r="V9" s="34"/>
      <c r="W9" s="34"/>
      <c r="X9" s="34"/>
      <c r="Y9" s="34"/>
      <c r="Z9" s="34"/>
      <c r="AA9" s="34"/>
      <c r="AB9" s="34"/>
    </row>
    <row r="10" ht="19.5" customHeight="1">
      <c r="A10" s="54"/>
      <c r="B10" s="49"/>
      <c r="C10" s="22" t="s">
        <v>24</v>
      </c>
      <c r="D10" s="29" t="s">
        <v>13</v>
      </c>
      <c r="E10" s="45"/>
      <c r="F10" s="45"/>
      <c r="G10" s="41"/>
      <c r="H10" s="41"/>
      <c r="I10" s="55"/>
      <c r="J10" s="41"/>
      <c r="K10" s="42">
        <v>817.0</v>
      </c>
      <c r="L10" s="40"/>
      <c r="M10" s="45"/>
      <c r="N10" s="45"/>
      <c r="O10" s="45"/>
      <c r="P10" s="43">
        <f>(J10+K10)</f>
        <v>817</v>
      </c>
      <c r="Q10" s="34"/>
      <c r="R10" s="50" t="s">
        <v>20</v>
      </c>
      <c r="S10" s="51" t="s">
        <v>25</v>
      </c>
      <c r="T10" s="34"/>
      <c r="U10" s="34"/>
      <c r="V10" s="34"/>
      <c r="W10" s="34"/>
      <c r="X10" s="34"/>
      <c r="Y10" s="34"/>
      <c r="Z10" s="34"/>
      <c r="AA10" s="34"/>
      <c r="AB10" s="34"/>
    </row>
    <row r="11" ht="19.5" customHeight="1">
      <c r="A11" s="49"/>
      <c r="B11" s="49"/>
      <c r="C11" s="56" t="s">
        <v>26</v>
      </c>
      <c r="D11" s="57">
        <f>(D32*A4)*(-1)</f>
        <v>748.8</v>
      </c>
      <c r="E11" s="57">
        <f>(E32*A4)*(-1)</f>
        <v>876.8</v>
      </c>
      <c r="F11" s="57">
        <f>(F32*A4)*(-1)</f>
        <v>652.8</v>
      </c>
      <c r="G11" s="57">
        <f>(G32*A4)*(-1)</f>
        <v>876.8</v>
      </c>
      <c r="H11" s="57">
        <f>(H32*A4)*(-1)</f>
        <v>652.8</v>
      </c>
      <c r="I11" s="57">
        <f>(I32*A4)*(-1)</f>
        <v>0</v>
      </c>
      <c r="J11" s="57">
        <f>(J32*A4)*(-1)</f>
        <v>2265.6</v>
      </c>
      <c r="K11" s="57">
        <f>(K32*A4)*(-1)</f>
        <v>-5209.6</v>
      </c>
      <c r="L11" s="57">
        <f>(L32*A4)*(-1)</f>
        <v>544</v>
      </c>
      <c r="M11" s="57">
        <f>(M32*A4)*(-1)</f>
        <v>768</v>
      </c>
      <c r="N11" s="57">
        <f>(N32*A4)*(-1)</f>
        <v>800</v>
      </c>
      <c r="O11" s="57">
        <f>(O32*A4)*(-1)</f>
        <v>-2438.4</v>
      </c>
      <c r="P11" s="58">
        <f>(P5+P6+P7+P9+P10)</f>
        <v>23086</v>
      </c>
      <c r="Q11" s="34"/>
      <c r="R11" s="50" t="s">
        <v>20</v>
      </c>
      <c r="S11" s="53" t="s">
        <v>27</v>
      </c>
      <c r="T11" s="34"/>
      <c r="U11" s="34"/>
      <c r="V11" s="34"/>
      <c r="W11" s="34"/>
      <c r="X11" s="34"/>
      <c r="Y11" s="34"/>
      <c r="Z11" s="34"/>
      <c r="AA11" s="34"/>
      <c r="AB11" s="34"/>
    </row>
    <row r="12" ht="19.5" customHeight="1">
      <c r="A12" s="49"/>
      <c r="B12" s="49"/>
      <c r="C12" s="28" t="s">
        <v>28</v>
      </c>
      <c r="D12" s="32">
        <v>80.0</v>
      </c>
      <c r="E12" s="38">
        <v>80.0</v>
      </c>
      <c r="F12" s="38">
        <v>80.0</v>
      </c>
      <c r="G12" s="38">
        <v>80.0</v>
      </c>
      <c r="H12" s="38">
        <v>80.0</v>
      </c>
      <c r="I12" s="52"/>
      <c r="J12" s="29"/>
      <c r="K12" s="32">
        <v>80.0</v>
      </c>
      <c r="L12" s="32">
        <v>80.0</v>
      </c>
      <c r="M12" s="32">
        <v>80.0</v>
      </c>
      <c r="N12" s="32">
        <v>80.0</v>
      </c>
      <c r="O12" s="32">
        <v>80.0</v>
      </c>
      <c r="P12" s="34"/>
      <c r="Q12" s="34"/>
      <c r="R12" s="50" t="s">
        <v>20</v>
      </c>
      <c r="S12" s="59" t="s">
        <v>29</v>
      </c>
      <c r="T12" s="34"/>
      <c r="U12" s="34"/>
      <c r="V12" s="34"/>
      <c r="W12" s="34"/>
      <c r="X12" s="34"/>
      <c r="Y12" s="34"/>
      <c r="Z12" s="34"/>
      <c r="AA12" s="34"/>
      <c r="AB12" s="34"/>
    </row>
    <row r="13" ht="19.5" customHeight="1">
      <c r="A13" s="49"/>
      <c r="B13" s="49"/>
      <c r="C13" s="22" t="s">
        <v>30</v>
      </c>
      <c r="D13" s="29">
        <v>670.0</v>
      </c>
      <c r="E13" s="38">
        <v>670.0</v>
      </c>
      <c r="F13" s="38">
        <v>670.0</v>
      </c>
      <c r="G13" s="38">
        <v>670.0</v>
      </c>
      <c r="H13" s="38">
        <v>670.0</v>
      </c>
      <c r="I13" s="52"/>
      <c r="J13" s="29">
        <v>670.0</v>
      </c>
      <c r="K13" s="29">
        <v>670.0</v>
      </c>
      <c r="L13" s="29">
        <v>670.0</v>
      </c>
      <c r="M13" s="29">
        <v>670.0</v>
      </c>
      <c r="N13" s="29">
        <v>670.0</v>
      </c>
      <c r="O13" s="29">
        <v>670.0</v>
      </c>
      <c r="P13" s="34"/>
      <c r="Q13" s="34"/>
      <c r="R13" s="60" t="s">
        <v>31</v>
      </c>
      <c r="S13" s="61" t="s">
        <v>32</v>
      </c>
      <c r="T13" s="34"/>
      <c r="U13" s="34"/>
      <c r="V13" s="34"/>
      <c r="W13" s="34"/>
      <c r="X13" s="34"/>
      <c r="Y13" s="34"/>
      <c r="Z13" s="34"/>
      <c r="AA13" s="34"/>
      <c r="AB13" s="34"/>
    </row>
    <row r="14" ht="19.5" customHeight="1">
      <c r="A14" s="49"/>
      <c r="B14" s="49"/>
      <c r="C14" s="28" t="s">
        <v>33</v>
      </c>
      <c r="D14" s="29">
        <v>670.0</v>
      </c>
      <c r="E14" s="38">
        <v>300.0</v>
      </c>
      <c r="F14" s="38">
        <v>300.0</v>
      </c>
      <c r="G14" s="38">
        <v>300.0</v>
      </c>
      <c r="H14" s="38">
        <v>300.0</v>
      </c>
      <c r="I14" s="52"/>
      <c r="J14" s="29"/>
      <c r="K14" s="29">
        <v>300.0</v>
      </c>
      <c r="L14" s="29">
        <v>300.0</v>
      </c>
      <c r="M14" s="29">
        <v>300.0</v>
      </c>
      <c r="N14" s="29">
        <v>300.0</v>
      </c>
      <c r="O14" s="29">
        <v>300.0</v>
      </c>
      <c r="P14" s="34"/>
      <c r="Q14" s="62"/>
      <c r="R14" s="60" t="s">
        <v>34</v>
      </c>
      <c r="S14" s="63" t="s">
        <v>35</v>
      </c>
      <c r="T14" s="34"/>
      <c r="U14" s="34"/>
      <c r="V14" s="34"/>
      <c r="W14" s="34"/>
      <c r="X14" s="34"/>
      <c r="Y14" s="34"/>
      <c r="Z14" s="34"/>
      <c r="AA14" s="34"/>
      <c r="AB14" s="34"/>
    </row>
    <row r="15" ht="19.5" customHeight="1">
      <c r="A15" s="49"/>
      <c r="B15" s="49"/>
      <c r="C15" s="28" t="s">
        <v>36</v>
      </c>
      <c r="D15" s="29">
        <v>900.0</v>
      </c>
      <c r="E15" s="38">
        <v>1000.0</v>
      </c>
      <c r="F15" s="38">
        <v>1000.0</v>
      </c>
      <c r="G15" s="38">
        <v>1000.0</v>
      </c>
      <c r="H15" s="38">
        <v>1000.0</v>
      </c>
      <c r="I15" s="52"/>
      <c r="J15" s="29"/>
      <c r="K15" s="29"/>
      <c r="L15" s="29"/>
      <c r="M15" s="29"/>
      <c r="N15" s="29">
        <v>500.0</v>
      </c>
      <c r="O15" s="29">
        <v>500.0</v>
      </c>
      <c r="P15" s="64">
        <f t="shared" ref="P15:P17" si="3">SUM(D15:O15)</f>
        <v>5900</v>
      </c>
      <c r="Q15" s="65">
        <f>(P15/A4)</f>
        <v>921.875</v>
      </c>
      <c r="R15" s="34"/>
      <c r="S15" s="66"/>
      <c r="T15" s="34"/>
      <c r="U15" s="34"/>
      <c r="V15" s="34"/>
      <c r="W15" s="34"/>
      <c r="X15" s="34"/>
      <c r="Y15" s="34"/>
      <c r="Z15" s="34"/>
      <c r="AA15" s="34"/>
      <c r="AB15" s="34"/>
    </row>
    <row r="16" ht="19.5" customHeight="1">
      <c r="A16" s="49"/>
      <c r="B16" s="49"/>
      <c r="C16" s="28" t="s">
        <v>37</v>
      </c>
      <c r="D16" s="29">
        <v>900.0</v>
      </c>
      <c r="E16" s="29">
        <v>900.0</v>
      </c>
      <c r="F16" s="29">
        <v>900.0</v>
      </c>
      <c r="G16" s="29">
        <v>900.0</v>
      </c>
      <c r="H16" s="29">
        <v>900.0</v>
      </c>
      <c r="I16" s="52"/>
      <c r="J16" s="29"/>
      <c r="K16" s="29"/>
      <c r="L16" s="29"/>
      <c r="M16" s="29"/>
      <c r="N16" s="29">
        <v>500.0</v>
      </c>
      <c r="O16" s="29">
        <v>500.0</v>
      </c>
      <c r="P16" s="67">
        <f t="shared" si="3"/>
        <v>5500</v>
      </c>
      <c r="Q16" s="65">
        <f>(P16/A4)</f>
        <v>859.375</v>
      </c>
      <c r="R16" s="34"/>
      <c r="S16" s="66"/>
      <c r="T16" s="34"/>
      <c r="U16" s="34"/>
      <c r="V16" s="34"/>
      <c r="W16" s="34"/>
      <c r="X16" s="34"/>
      <c r="Y16" s="34"/>
      <c r="Z16" s="34"/>
      <c r="AA16" s="34"/>
      <c r="AB16" s="34"/>
    </row>
    <row r="17" ht="19.5" customHeight="1">
      <c r="A17" s="49"/>
      <c r="B17" s="49"/>
      <c r="C17" s="28" t="s">
        <v>38</v>
      </c>
      <c r="D17" s="29">
        <v>900.0</v>
      </c>
      <c r="E17" s="29">
        <v>900.0</v>
      </c>
      <c r="F17" s="29">
        <v>900.0</v>
      </c>
      <c r="G17" s="29">
        <v>900.0</v>
      </c>
      <c r="H17" s="29">
        <v>900.0</v>
      </c>
      <c r="I17" s="52"/>
      <c r="J17" s="29"/>
      <c r="K17" s="29"/>
      <c r="L17" s="29"/>
      <c r="M17" s="29"/>
      <c r="N17" s="29">
        <v>500.0</v>
      </c>
      <c r="O17" s="29">
        <v>500.0</v>
      </c>
      <c r="P17" s="67">
        <f t="shared" si="3"/>
        <v>5500</v>
      </c>
      <c r="Q17" s="65">
        <f>(P17/A4)</f>
        <v>859.375</v>
      </c>
      <c r="R17" s="34"/>
      <c r="S17" s="66"/>
      <c r="T17" s="34"/>
      <c r="U17" s="34"/>
      <c r="V17" s="34"/>
      <c r="W17" s="34"/>
      <c r="X17" s="34"/>
      <c r="Y17" s="34"/>
      <c r="Z17" s="34"/>
      <c r="AA17" s="34"/>
      <c r="AB17" s="34"/>
    </row>
    <row r="18" ht="19.5" customHeight="1">
      <c r="A18" s="49"/>
      <c r="B18" s="49"/>
      <c r="C18" s="68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70">
        <f>(P15+P16+P17)</f>
        <v>16900</v>
      </c>
      <c r="Q18" s="65">
        <f>(P18/A4)</f>
        <v>2640.625</v>
      </c>
      <c r="R18" s="34"/>
      <c r="S18" s="71"/>
      <c r="T18" s="34"/>
      <c r="U18" s="34"/>
      <c r="V18" s="34"/>
      <c r="W18" s="34"/>
      <c r="X18" s="34"/>
      <c r="Y18" s="34"/>
      <c r="Z18" s="34"/>
      <c r="AA18" s="34"/>
      <c r="AB18" s="34"/>
    </row>
    <row r="19" ht="24.0" customHeight="1">
      <c r="A19" s="20"/>
      <c r="B19" s="21"/>
      <c r="C19" s="72" t="s">
        <v>39</v>
      </c>
      <c r="D19" s="73">
        <f t="shared" ref="D19:O19" si="4">SUM(D20:D24)</f>
        <v>7000</v>
      </c>
      <c r="E19" s="73">
        <f t="shared" si="4"/>
        <v>7000</v>
      </c>
      <c r="F19" s="73">
        <f t="shared" si="4"/>
        <v>7000</v>
      </c>
      <c r="G19" s="73">
        <f t="shared" si="4"/>
        <v>7000</v>
      </c>
      <c r="H19" s="73">
        <f t="shared" si="4"/>
        <v>7000</v>
      </c>
      <c r="I19" s="73">
        <f t="shared" si="4"/>
        <v>0</v>
      </c>
      <c r="J19" s="73">
        <f t="shared" si="4"/>
        <v>7383</v>
      </c>
      <c r="K19" s="73">
        <f t="shared" si="4"/>
        <v>7000</v>
      </c>
      <c r="L19" s="73">
        <f t="shared" si="4"/>
        <v>7000</v>
      </c>
      <c r="M19" s="73">
        <f t="shared" si="4"/>
        <v>7000</v>
      </c>
      <c r="N19" s="73">
        <f t="shared" si="4"/>
        <v>7000</v>
      </c>
      <c r="O19" s="73">
        <f t="shared" si="4"/>
        <v>7000</v>
      </c>
      <c r="P19" s="74"/>
      <c r="Q19" s="74"/>
      <c r="R19" s="34"/>
      <c r="S19" s="71"/>
      <c r="T19" s="71"/>
      <c r="U19" s="71"/>
      <c r="V19" s="34"/>
      <c r="W19" s="34"/>
      <c r="X19" s="34"/>
      <c r="Y19" s="34"/>
      <c r="Z19" s="34"/>
      <c r="AA19" s="34"/>
      <c r="AB19" s="34"/>
    </row>
    <row r="20" ht="19.5" customHeight="1">
      <c r="A20" s="49"/>
      <c r="B20" s="49"/>
      <c r="C20" s="75"/>
      <c r="D20" s="76"/>
      <c r="E20" s="76"/>
      <c r="F20" s="76"/>
      <c r="G20" s="76"/>
      <c r="H20" s="76"/>
      <c r="I20" s="77"/>
      <c r="J20" s="76"/>
      <c r="K20" s="76"/>
      <c r="L20" s="76"/>
      <c r="M20" s="76"/>
      <c r="N20" s="76"/>
      <c r="O20" s="78"/>
      <c r="P20" s="34"/>
      <c r="Q20" s="79"/>
      <c r="R20" s="34"/>
      <c r="S20" s="71"/>
      <c r="T20" s="71"/>
      <c r="U20" s="80"/>
      <c r="V20" s="34"/>
      <c r="W20" s="34"/>
      <c r="X20" s="34"/>
      <c r="Y20" s="34"/>
      <c r="Z20" s="34"/>
      <c r="AA20" s="34"/>
      <c r="AB20" s="34"/>
    </row>
    <row r="21" ht="19.5" customHeight="1">
      <c r="A21" s="81"/>
      <c r="B21" s="82"/>
      <c r="C21" s="75" t="s">
        <v>40</v>
      </c>
      <c r="D21" s="76"/>
      <c r="E21" s="76"/>
      <c r="F21" s="76"/>
      <c r="G21" s="76"/>
      <c r="H21" s="76"/>
      <c r="I21" s="77"/>
      <c r="J21" s="76">
        <v>-217.0</v>
      </c>
      <c r="K21" s="76"/>
      <c r="L21" s="76"/>
      <c r="M21" s="76"/>
      <c r="N21" s="76"/>
      <c r="O21" s="78"/>
      <c r="P21" s="34"/>
      <c r="Q21" s="79"/>
      <c r="R21" s="34"/>
      <c r="S21" s="71"/>
      <c r="T21" s="71"/>
      <c r="U21" s="80"/>
      <c r="V21" s="34"/>
      <c r="W21" s="34"/>
      <c r="X21" s="34"/>
      <c r="Y21" s="34"/>
      <c r="Z21" s="34"/>
      <c r="AA21" s="34"/>
      <c r="AB21" s="34"/>
    </row>
    <row r="22" ht="19.5" customHeight="1">
      <c r="A22" s="81"/>
      <c r="B22" s="82"/>
      <c r="C22" s="75" t="s">
        <v>41</v>
      </c>
      <c r="D22" s="76"/>
      <c r="E22" s="76"/>
      <c r="F22" s="76"/>
      <c r="G22" s="76"/>
      <c r="H22" s="76"/>
      <c r="I22" s="77"/>
      <c r="J22" s="76">
        <v>2600.0</v>
      </c>
      <c r="K22" s="76"/>
      <c r="L22" s="76"/>
      <c r="M22" s="76"/>
      <c r="N22" s="76"/>
      <c r="O22" s="78"/>
      <c r="P22" s="34"/>
      <c r="Q22" s="83"/>
      <c r="R22" s="34"/>
      <c r="S22" s="71"/>
      <c r="T22" s="71"/>
      <c r="U22" s="80"/>
      <c r="V22" s="34"/>
      <c r="W22" s="34"/>
      <c r="X22" s="34"/>
      <c r="Y22" s="34"/>
      <c r="Z22" s="34"/>
      <c r="AA22" s="34"/>
      <c r="AB22" s="34"/>
    </row>
    <row r="23" ht="19.5" customHeight="1">
      <c r="A23" s="81"/>
      <c r="B23" s="82"/>
      <c r="C23" s="75"/>
      <c r="D23" s="76"/>
      <c r="E23" s="41"/>
      <c r="F23" s="41"/>
      <c r="G23" s="76"/>
      <c r="H23" s="76"/>
      <c r="I23" s="77"/>
      <c r="J23" s="76">
        <v>5000.0</v>
      </c>
      <c r="K23" s="76"/>
      <c r="L23" s="76"/>
      <c r="M23" s="76"/>
      <c r="N23" s="76"/>
      <c r="O23" s="78"/>
      <c r="P23" s="34"/>
      <c r="Q23" s="79"/>
      <c r="R23" s="34"/>
      <c r="S23" s="71"/>
      <c r="T23" s="71"/>
      <c r="U23" s="71"/>
      <c r="V23" s="34"/>
      <c r="W23" s="34"/>
      <c r="X23" s="34"/>
      <c r="Y23" s="34"/>
      <c r="Z23" s="34"/>
      <c r="AA23" s="34"/>
      <c r="AB23" s="34"/>
    </row>
    <row r="24" ht="19.5" customHeight="1">
      <c r="A24" s="81"/>
      <c r="B24" s="82"/>
      <c r="C24" s="28" t="s">
        <v>42</v>
      </c>
      <c r="D24" s="41">
        <v>7000.0</v>
      </c>
      <c r="E24" s="84">
        <v>7000.0</v>
      </c>
      <c r="F24" s="84">
        <v>7000.0</v>
      </c>
      <c r="G24" s="84">
        <v>7000.0</v>
      </c>
      <c r="H24" s="84">
        <v>7000.0</v>
      </c>
      <c r="I24" s="55"/>
      <c r="J24" s="41"/>
      <c r="K24" s="41">
        <v>7000.0</v>
      </c>
      <c r="L24" s="41">
        <v>7000.0</v>
      </c>
      <c r="M24" s="41">
        <v>7000.0</v>
      </c>
      <c r="N24" s="41">
        <v>7000.0</v>
      </c>
      <c r="O24" s="41">
        <v>7000.0</v>
      </c>
      <c r="P24" s="34"/>
      <c r="Q24" s="83"/>
      <c r="R24" s="34"/>
      <c r="S24" s="71"/>
      <c r="T24" s="71"/>
      <c r="U24" s="71"/>
      <c r="V24" s="34"/>
      <c r="W24" s="34"/>
      <c r="X24" s="34"/>
      <c r="Y24" s="34"/>
      <c r="Z24" s="34"/>
      <c r="AA24" s="34"/>
      <c r="AB24" s="34"/>
    </row>
    <row r="25" ht="19.5" customHeight="1">
      <c r="A25" s="81"/>
      <c r="B25" s="82"/>
      <c r="C25" s="85" t="s">
        <v>43</v>
      </c>
      <c r="D25" s="86">
        <f t="shared" ref="D25:H25" si="5">(D19-D3)</f>
        <v>-1373.8</v>
      </c>
      <c r="E25" s="87">
        <f t="shared" si="5"/>
        <v>59.2</v>
      </c>
      <c r="F25" s="88">
        <f t="shared" si="5"/>
        <v>347.2</v>
      </c>
      <c r="G25" s="87">
        <f t="shared" si="5"/>
        <v>123.2</v>
      </c>
      <c r="H25" s="87">
        <f t="shared" si="5"/>
        <v>347.2</v>
      </c>
      <c r="I25" s="89"/>
      <c r="J25" s="90">
        <f t="shared" ref="J25:O25" si="6">(J19-J3)</f>
        <v>62.4</v>
      </c>
      <c r="K25" s="91">
        <f t="shared" si="6"/>
        <v>3446.6</v>
      </c>
      <c r="L25" s="91">
        <f t="shared" si="6"/>
        <v>-712</v>
      </c>
      <c r="M25" s="92">
        <f t="shared" si="6"/>
        <v>-395</v>
      </c>
      <c r="N25" s="92">
        <f t="shared" si="6"/>
        <v>-687</v>
      </c>
      <c r="O25" s="93">
        <f t="shared" si="6"/>
        <v>2782.4</v>
      </c>
      <c r="P25" s="94"/>
      <c r="Q25" s="94"/>
      <c r="R25" s="34"/>
      <c r="S25" s="71"/>
      <c r="T25" s="71"/>
      <c r="U25" s="71"/>
      <c r="V25" s="34"/>
      <c r="W25" s="34"/>
      <c r="X25" s="34"/>
      <c r="Y25" s="34"/>
      <c r="Z25" s="34"/>
      <c r="AA25" s="34"/>
      <c r="AB25" s="34"/>
    </row>
    <row r="26" ht="19.5" customHeight="1">
      <c r="A26" s="81"/>
      <c r="B26" s="82"/>
      <c r="C26" s="95" t="s">
        <v>44</v>
      </c>
      <c r="D26" s="86">
        <f>(D25+O26)</f>
        <v>3123.6</v>
      </c>
      <c r="E26" s="86">
        <f t="shared" ref="E26:H26" si="7">(E25+D26)</f>
        <v>3182.8</v>
      </c>
      <c r="F26" s="86">
        <f t="shared" si="7"/>
        <v>3530</v>
      </c>
      <c r="G26" s="86">
        <f t="shared" si="7"/>
        <v>3653.2</v>
      </c>
      <c r="H26" s="86">
        <f t="shared" si="7"/>
        <v>4000.4</v>
      </c>
      <c r="I26" s="52"/>
      <c r="J26" s="96">
        <f t="shared" ref="J26:O26" si="8">(J25+I26)</f>
        <v>62.4</v>
      </c>
      <c r="K26" s="97">
        <f t="shared" si="8"/>
        <v>3509</v>
      </c>
      <c r="L26" s="97">
        <f t="shared" si="8"/>
        <v>2797</v>
      </c>
      <c r="M26" s="98">
        <f t="shared" si="8"/>
        <v>2402</v>
      </c>
      <c r="N26" s="98">
        <f t="shared" si="8"/>
        <v>1715</v>
      </c>
      <c r="O26" s="99">
        <f t="shared" si="8"/>
        <v>4497.4</v>
      </c>
      <c r="P26" s="34"/>
      <c r="Q26" s="34"/>
      <c r="R26" s="34"/>
      <c r="S26" s="71"/>
      <c r="T26" s="71"/>
      <c r="U26" s="71"/>
      <c r="V26" s="34"/>
      <c r="W26" s="34"/>
      <c r="X26" s="34"/>
      <c r="Y26" s="34"/>
      <c r="Z26" s="34"/>
      <c r="AA26" s="34"/>
      <c r="AB26" s="34"/>
    </row>
    <row r="27" ht="19.5" hidden="1" customHeight="1">
      <c r="A27" s="26"/>
      <c r="B27" s="27"/>
      <c r="C27" s="100"/>
      <c r="D27" s="86"/>
      <c r="E27" s="101"/>
      <c r="F27" s="102"/>
      <c r="G27" s="102"/>
      <c r="H27" s="52"/>
      <c r="I27" s="101"/>
      <c r="J27" s="103"/>
      <c r="K27" s="104"/>
      <c r="L27" s="97"/>
      <c r="M27" s="105"/>
      <c r="N27" s="106"/>
      <c r="O27" s="107"/>
      <c r="P27" s="108"/>
      <c r="Q27" s="108"/>
      <c r="R27" s="34"/>
      <c r="S27" s="71"/>
      <c r="T27" s="71"/>
      <c r="U27" s="71"/>
      <c r="V27" s="34"/>
      <c r="W27" s="34"/>
      <c r="X27" s="34"/>
      <c r="Y27" s="34"/>
      <c r="Z27" s="34"/>
      <c r="AA27" s="34"/>
      <c r="AB27" s="34"/>
    </row>
    <row r="28" ht="19.5" hidden="1" customHeight="1">
      <c r="A28" s="26"/>
      <c r="B28" s="27"/>
      <c r="C28" s="100"/>
      <c r="D28" s="86"/>
      <c r="E28" s="101"/>
      <c r="F28" s="102"/>
      <c r="G28" s="102"/>
      <c r="H28" s="52"/>
      <c r="I28" s="101"/>
      <c r="J28" s="103"/>
      <c r="K28" s="104"/>
      <c r="L28" s="97"/>
      <c r="M28" s="105"/>
      <c r="N28" s="106"/>
      <c r="O28" s="107"/>
      <c r="P28" s="108"/>
      <c r="Q28" s="108"/>
      <c r="R28" s="34"/>
      <c r="S28" s="71"/>
      <c r="T28" s="71"/>
      <c r="U28" s="71"/>
      <c r="V28" s="34"/>
      <c r="W28" s="34"/>
      <c r="X28" s="34"/>
      <c r="Y28" s="34"/>
      <c r="Z28" s="34"/>
      <c r="AA28" s="34"/>
      <c r="AB28" s="34"/>
    </row>
    <row r="29" ht="24.0" customHeight="1">
      <c r="A29" s="109"/>
      <c r="B29" s="109"/>
      <c r="C29" s="110" t="s">
        <v>45</v>
      </c>
      <c r="D29" s="111">
        <f>(D26/A4)</f>
        <v>488.0625</v>
      </c>
      <c r="E29" s="111">
        <f>(E26/A4)</f>
        <v>497.3125</v>
      </c>
      <c r="F29" s="111">
        <f>(F26/A4)</f>
        <v>551.5625</v>
      </c>
      <c r="G29" s="111">
        <f>(G26/A4)</f>
        <v>570.8125</v>
      </c>
      <c r="H29" s="111">
        <f>(H26/A4)</f>
        <v>625.0625</v>
      </c>
      <c r="I29" s="112"/>
      <c r="J29" s="113">
        <f>(J26/A4)</f>
        <v>9.75</v>
      </c>
      <c r="K29" s="114">
        <f>(K26/A4)</f>
        <v>548.28125</v>
      </c>
      <c r="L29" s="114">
        <f>(L26/A4)</f>
        <v>437.03125</v>
      </c>
      <c r="M29" s="115">
        <f>(M26/A4)</f>
        <v>375.3125</v>
      </c>
      <c r="N29" s="115">
        <f>(N26/A4)</f>
        <v>267.96875</v>
      </c>
      <c r="O29" s="116">
        <f>(O26/A4)</f>
        <v>702.71875</v>
      </c>
      <c r="P29" s="117"/>
      <c r="Q29" s="117"/>
      <c r="R29" s="34"/>
      <c r="S29" s="71"/>
      <c r="T29" s="71"/>
      <c r="U29" s="71"/>
      <c r="V29" s="34"/>
      <c r="W29" s="34"/>
      <c r="X29" s="34"/>
      <c r="Y29" s="34"/>
      <c r="Z29" s="34"/>
      <c r="AA29" s="34"/>
      <c r="AB29" s="34"/>
    </row>
    <row r="30" ht="24.0" customHeight="1">
      <c r="A30" s="109"/>
      <c r="B30" s="109"/>
      <c r="C30" s="68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118"/>
      <c r="Q30" s="118"/>
      <c r="R30" s="34"/>
      <c r="S30" s="71"/>
      <c r="T30" s="71"/>
      <c r="U30" s="71"/>
      <c r="V30" s="34"/>
      <c r="W30" s="34"/>
      <c r="X30" s="34"/>
      <c r="Y30" s="34"/>
      <c r="Z30" s="34"/>
      <c r="AA30" s="34"/>
      <c r="AB30" s="34"/>
    </row>
    <row r="31" ht="24.0" customHeight="1">
      <c r="A31" s="109"/>
      <c r="B31" s="109"/>
      <c r="C31" s="119" t="s">
        <v>46</v>
      </c>
      <c r="D31" s="120">
        <v>1350.0</v>
      </c>
      <c r="E31" s="120">
        <v>1350.0</v>
      </c>
      <c r="F31" s="120">
        <v>1350.0</v>
      </c>
      <c r="G31" s="120">
        <v>1350.0</v>
      </c>
      <c r="H31" s="120">
        <v>1350.0</v>
      </c>
      <c r="I31" s="120"/>
      <c r="J31" s="120">
        <v>400.0</v>
      </c>
      <c r="K31" s="121">
        <f>(1300+200+758)</f>
        <v>2258</v>
      </c>
      <c r="L31" s="120">
        <f>(1300)</f>
        <v>1300</v>
      </c>
      <c r="M31" s="120">
        <v>1300.0</v>
      </c>
      <c r="N31" s="120">
        <v>1300.0</v>
      </c>
      <c r="O31" s="121">
        <f>(1300+541)</f>
        <v>1841</v>
      </c>
      <c r="P31" s="122"/>
      <c r="Q31" s="122"/>
      <c r="R31" s="34"/>
      <c r="S31" s="71"/>
      <c r="T31" s="71"/>
      <c r="U31" s="71"/>
      <c r="V31" s="34"/>
      <c r="W31" s="34"/>
      <c r="X31" s="34"/>
      <c r="Y31" s="34"/>
      <c r="Z31" s="34"/>
      <c r="AA31" s="34"/>
      <c r="AB31" s="34"/>
    </row>
    <row r="32" ht="24.0" customHeight="1">
      <c r="A32" s="109"/>
      <c r="B32" s="109"/>
      <c r="C32" s="56" t="s">
        <v>47</v>
      </c>
      <c r="D32" s="123">
        <f t="shared" ref="D32:O32" si="9">(D31-D33)</f>
        <v>-117</v>
      </c>
      <c r="E32" s="123">
        <f t="shared" si="9"/>
        <v>-137</v>
      </c>
      <c r="F32" s="123">
        <f t="shared" si="9"/>
        <v>-102</v>
      </c>
      <c r="G32" s="123">
        <f t="shared" si="9"/>
        <v>-137</v>
      </c>
      <c r="H32" s="123">
        <f t="shared" si="9"/>
        <v>-102</v>
      </c>
      <c r="I32" s="123">
        <f t="shared" si="9"/>
        <v>0</v>
      </c>
      <c r="J32" s="123">
        <f t="shared" si="9"/>
        <v>-354</v>
      </c>
      <c r="K32" s="123">
        <f t="shared" si="9"/>
        <v>814</v>
      </c>
      <c r="L32" s="123">
        <f t="shared" si="9"/>
        <v>-85</v>
      </c>
      <c r="M32" s="123">
        <f t="shared" si="9"/>
        <v>-120</v>
      </c>
      <c r="N32" s="123">
        <f t="shared" si="9"/>
        <v>-125</v>
      </c>
      <c r="O32" s="123">
        <f t="shared" si="9"/>
        <v>381</v>
      </c>
      <c r="P32" s="118"/>
      <c r="Q32" s="118"/>
      <c r="R32" s="34"/>
      <c r="S32" s="71"/>
      <c r="T32" s="71"/>
      <c r="U32" s="71"/>
      <c r="V32" s="34"/>
      <c r="W32" s="34"/>
      <c r="X32" s="34"/>
      <c r="Y32" s="34"/>
      <c r="Z32" s="34"/>
      <c r="AA32" s="34"/>
      <c r="AB32" s="34"/>
    </row>
    <row r="33" ht="24.0" customHeight="1">
      <c r="A33" s="20"/>
      <c r="B33" s="21"/>
      <c r="C33" s="124" t="s">
        <v>48</v>
      </c>
      <c r="D33" s="125">
        <f t="shared" ref="D33:O33" si="10">SUM(D34:D47)</f>
        <v>1467</v>
      </c>
      <c r="E33" s="125">
        <f t="shared" si="10"/>
        <v>1487</v>
      </c>
      <c r="F33" s="125">
        <f t="shared" si="10"/>
        <v>1452</v>
      </c>
      <c r="G33" s="125">
        <f t="shared" si="10"/>
        <v>1487</v>
      </c>
      <c r="H33" s="125">
        <f t="shared" si="10"/>
        <v>1452</v>
      </c>
      <c r="I33" s="125">
        <f t="shared" si="10"/>
        <v>0</v>
      </c>
      <c r="J33" s="125">
        <f t="shared" si="10"/>
        <v>754</v>
      </c>
      <c r="K33" s="125">
        <f t="shared" si="10"/>
        <v>1444</v>
      </c>
      <c r="L33" s="125">
        <f t="shared" si="10"/>
        <v>1385</v>
      </c>
      <c r="M33" s="125">
        <f t="shared" si="10"/>
        <v>1420</v>
      </c>
      <c r="N33" s="125">
        <f t="shared" si="10"/>
        <v>1425</v>
      </c>
      <c r="O33" s="125">
        <f t="shared" si="10"/>
        <v>1460</v>
      </c>
      <c r="P33" s="126"/>
      <c r="Q33" s="118"/>
      <c r="R33" s="34"/>
      <c r="S33" s="71"/>
      <c r="T33" s="71"/>
      <c r="U33" s="71"/>
      <c r="V33" s="34"/>
      <c r="W33" s="34"/>
      <c r="X33" s="34"/>
      <c r="Y33" s="34"/>
      <c r="Z33" s="34"/>
      <c r="AA33" s="34"/>
      <c r="AB33" s="34"/>
    </row>
    <row r="34" ht="19.5" customHeight="1">
      <c r="A34" s="81"/>
      <c r="B34" s="82"/>
      <c r="C34" s="127" t="s">
        <v>49</v>
      </c>
      <c r="D34" s="128">
        <v>790.0</v>
      </c>
      <c r="E34" s="129">
        <v>790.0</v>
      </c>
      <c r="F34" s="129">
        <v>790.0</v>
      </c>
      <c r="G34" s="129">
        <v>790.0</v>
      </c>
      <c r="H34" s="129">
        <v>790.0</v>
      </c>
      <c r="I34" s="130"/>
      <c r="J34" s="131"/>
      <c r="K34" s="132">
        <v>783.0</v>
      </c>
      <c r="L34" s="132">
        <v>783.0</v>
      </c>
      <c r="M34" s="132">
        <v>783.0</v>
      </c>
      <c r="N34" s="132">
        <v>783.0</v>
      </c>
      <c r="O34" s="133">
        <v>783.0</v>
      </c>
      <c r="P34" s="34"/>
      <c r="Q34" s="134"/>
      <c r="R34" s="34"/>
      <c r="S34" s="71"/>
      <c r="T34" s="71"/>
      <c r="U34" s="71"/>
      <c r="V34" s="34"/>
      <c r="W34" s="34"/>
      <c r="X34" s="34"/>
      <c r="Y34" s="34"/>
      <c r="Z34" s="34"/>
      <c r="AA34" s="34"/>
      <c r="AB34" s="34"/>
    </row>
    <row r="35" ht="19.5" customHeight="1">
      <c r="A35" s="81"/>
      <c r="B35" s="82"/>
      <c r="C35" s="75" t="s">
        <v>50</v>
      </c>
      <c r="D35" s="128">
        <v>60.0</v>
      </c>
      <c r="E35" s="135">
        <v>60.0</v>
      </c>
      <c r="F35" s="135">
        <v>60.0</v>
      </c>
      <c r="G35" s="135">
        <v>60.0</v>
      </c>
      <c r="H35" s="135">
        <v>60.0</v>
      </c>
      <c r="I35" s="130"/>
      <c r="J35" s="131"/>
      <c r="K35" s="128">
        <v>60.0</v>
      </c>
      <c r="L35" s="128">
        <v>60.0</v>
      </c>
      <c r="M35" s="128">
        <v>60.0</v>
      </c>
      <c r="N35" s="128">
        <v>60.0</v>
      </c>
      <c r="O35" s="135">
        <v>60.0</v>
      </c>
      <c r="P35" s="34"/>
      <c r="Q35" s="134"/>
      <c r="R35" s="34"/>
      <c r="S35" s="71"/>
      <c r="T35" s="71"/>
      <c r="U35" s="71"/>
      <c r="V35" s="34"/>
      <c r="W35" s="34"/>
      <c r="X35" s="34"/>
      <c r="Y35" s="34"/>
      <c r="Z35" s="34"/>
      <c r="AA35" s="34"/>
      <c r="AB35" s="34"/>
    </row>
    <row r="36" ht="19.5" customHeight="1">
      <c r="A36" s="81"/>
      <c r="B36" s="82"/>
      <c r="C36" s="75" t="s">
        <v>51</v>
      </c>
      <c r="D36" s="128">
        <v>53.0</v>
      </c>
      <c r="E36" s="128">
        <v>53.0</v>
      </c>
      <c r="F36" s="128">
        <v>53.0</v>
      </c>
      <c r="G36" s="128">
        <v>53.0</v>
      </c>
      <c r="H36" s="128">
        <v>53.0</v>
      </c>
      <c r="I36" s="130"/>
      <c r="J36" s="128">
        <v>53.0</v>
      </c>
      <c r="K36" s="128">
        <v>53.0</v>
      </c>
      <c r="L36" s="128">
        <v>53.0</v>
      </c>
      <c r="M36" s="128">
        <v>53.0</v>
      </c>
      <c r="N36" s="128">
        <v>53.0</v>
      </c>
      <c r="O36" s="128">
        <v>53.0</v>
      </c>
      <c r="P36" s="34"/>
      <c r="Q36" s="1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9.5" customHeight="1">
      <c r="A37" s="81"/>
      <c r="B37" s="82"/>
      <c r="C37" s="75" t="s">
        <v>52</v>
      </c>
      <c r="D37" s="136">
        <v>260.0</v>
      </c>
      <c r="E37" s="136">
        <v>260.0</v>
      </c>
      <c r="F37" s="136">
        <v>260.0</v>
      </c>
      <c r="G37" s="136">
        <v>260.0</v>
      </c>
      <c r="H37" s="136">
        <v>260.0</v>
      </c>
      <c r="I37" s="130"/>
      <c r="J37" s="131"/>
      <c r="K37" s="128">
        <v>240.0</v>
      </c>
      <c r="L37" s="128">
        <v>240.0</v>
      </c>
      <c r="M37" s="128">
        <v>240.0</v>
      </c>
      <c r="N37" s="128">
        <v>240.0</v>
      </c>
      <c r="O37" s="128">
        <v>240.0</v>
      </c>
      <c r="P37" s="34"/>
      <c r="Q37" s="1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9.5" customHeight="1">
      <c r="A38" s="81"/>
      <c r="B38" s="82"/>
      <c r="C38" s="75" t="s">
        <v>53</v>
      </c>
      <c r="D38" s="128">
        <v>40.0</v>
      </c>
      <c r="E38" s="135">
        <v>40.0</v>
      </c>
      <c r="F38" s="135">
        <v>40.0</v>
      </c>
      <c r="G38" s="135">
        <v>40.0</v>
      </c>
      <c r="H38" s="135">
        <v>40.0</v>
      </c>
      <c r="I38" s="130"/>
      <c r="J38" s="131"/>
      <c r="K38" s="128">
        <v>40.0</v>
      </c>
      <c r="L38" s="128">
        <v>40.0</v>
      </c>
      <c r="M38" s="128">
        <v>40.0</v>
      </c>
      <c r="N38" s="128">
        <v>40.0</v>
      </c>
      <c r="O38" s="135">
        <v>40.0</v>
      </c>
      <c r="P38" s="34"/>
      <c r="Q38" s="1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9.5" hidden="1" customHeight="1">
      <c r="A39" s="26"/>
      <c r="B39" s="27"/>
      <c r="C39" s="137"/>
      <c r="D39" s="131"/>
      <c r="E39" s="138"/>
      <c r="F39" s="138"/>
      <c r="G39" s="138"/>
      <c r="H39" s="138"/>
      <c r="I39" s="55"/>
      <c r="J39" s="139"/>
      <c r="K39" s="139"/>
      <c r="L39" s="106"/>
      <c r="M39" s="139"/>
      <c r="N39" s="106"/>
      <c r="O39" s="138"/>
      <c r="P39" s="34"/>
      <c r="Q39" s="140"/>
      <c r="R39" s="34"/>
      <c r="S39" s="140"/>
      <c r="T39" s="140"/>
      <c r="U39" s="141"/>
      <c r="V39" s="141"/>
      <c r="W39" s="141"/>
      <c r="X39" s="141"/>
      <c r="Y39" s="141"/>
      <c r="Z39" s="141"/>
      <c r="AA39" s="141"/>
      <c r="AB39" s="140"/>
    </row>
    <row r="40" ht="19.5" customHeight="1">
      <c r="A40" s="81"/>
      <c r="B40" s="82"/>
      <c r="C40" s="75" t="s">
        <v>54</v>
      </c>
      <c r="D40" s="128">
        <v>24.0</v>
      </c>
      <c r="E40" s="135">
        <v>24.0</v>
      </c>
      <c r="F40" s="135">
        <v>24.0</v>
      </c>
      <c r="G40" s="135">
        <v>24.0</v>
      </c>
      <c r="H40" s="135">
        <v>24.0</v>
      </c>
      <c r="I40" s="130"/>
      <c r="J40" s="128">
        <v>24.0</v>
      </c>
      <c r="K40" s="128">
        <v>24.0</v>
      </c>
      <c r="L40" s="128">
        <v>24.0</v>
      </c>
      <c r="M40" s="128">
        <v>24.0</v>
      </c>
      <c r="N40" s="128">
        <v>24.0</v>
      </c>
      <c r="O40" s="135">
        <v>24.0</v>
      </c>
      <c r="P40" s="34"/>
      <c r="Q40" s="134"/>
      <c r="R40" s="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</row>
    <row r="41" ht="19.5" hidden="1" customHeight="1">
      <c r="A41" s="26"/>
      <c r="B41" s="27"/>
      <c r="C41" s="137"/>
      <c r="D41" s="131"/>
      <c r="E41" s="142"/>
      <c r="F41" s="142"/>
      <c r="G41" s="142"/>
      <c r="H41" s="142"/>
      <c r="I41" s="143"/>
      <c r="J41" s="144"/>
      <c r="K41" s="128">
        <v>24.0</v>
      </c>
      <c r="L41" s="106"/>
      <c r="M41" s="144"/>
      <c r="N41" s="106"/>
      <c r="O41" s="142"/>
      <c r="P41" s="34"/>
      <c r="Q41" s="145"/>
      <c r="R41" s="34"/>
      <c r="S41" s="145"/>
    </row>
    <row r="42" ht="15.75" customHeight="1">
      <c r="C42" s="75" t="s">
        <v>55</v>
      </c>
      <c r="D42" s="128">
        <v>25.0</v>
      </c>
      <c r="E42" s="131">
        <v>30.0</v>
      </c>
      <c r="F42" s="131">
        <v>30.0</v>
      </c>
      <c r="G42" s="131">
        <v>30.0</v>
      </c>
      <c r="H42" s="131">
        <v>30.0</v>
      </c>
      <c r="I42" s="130"/>
      <c r="J42" s="131">
        <v>30.0</v>
      </c>
      <c r="K42" s="131">
        <v>30.0</v>
      </c>
      <c r="L42" s="131">
        <v>30.0</v>
      </c>
      <c r="M42" s="131">
        <v>30.0</v>
      </c>
      <c r="N42" s="131">
        <v>30.0</v>
      </c>
      <c r="O42" s="131">
        <v>30.0</v>
      </c>
      <c r="P42" s="34"/>
      <c r="Q42" s="134"/>
      <c r="R42" s="34"/>
      <c r="S42" s="134"/>
      <c r="T42" s="34"/>
      <c r="U42" s="34"/>
      <c r="V42" s="34"/>
      <c r="W42" s="34"/>
      <c r="X42" s="34"/>
      <c r="Y42" s="34"/>
      <c r="Z42" s="34"/>
      <c r="AA42" s="34"/>
      <c r="AB42" s="34"/>
    </row>
    <row r="43" ht="15.75" customHeight="1">
      <c r="C43" s="75" t="s">
        <v>56</v>
      </c>
      <c r="D43" s="146">
        <v>15.0</v>
      </c>
      <c r="E43" s="147">
        <v>50.0</v>
      </c>
      <c r="F43" s="148">
        <v>15.0</v>
      </c>
      <c r="G43" s="147">
        <v>50.0</v>
      </c>
      <c r="H43" s="148">
        <v>15.0</v>
      </c>
      <c r="I43" s="130"/>
      <c r="J43" s="149" t="s">
        <v>13</v>
      </c>
      <c r="K43" s="147">
        <v>50.0</v>
      </c>
      <c r="L43" s="147">
        <v>15.0</v>
      </c>
      <c r="M43" s="147">
        <v>50.0</v>
      </c>
      <c r="N43" s="147">
        <v>15.0</v>
      </c>
      <c r="O43" s="147">
        <v>50.0</v>
      </c>
      <c r="P43" s="34"/>
    </row>
    <row r="44" ht="15.75" customHeight="1">
      <c r="C44" s="75" t="s">
        <v>57</v>
      </c>
      <c r="D44" s="131">
        <v>50.0</v>
      </c>
      <c r="E44" s="150">
        <v>40.0</v>
      </c>
      <c r="F44" s="150">
        <v>40.0</v>
      </c>
      <c r="G44" s="150">
        <v>40.0</v>
      </c>
      <c r="H44" s="150">
        <v>40.0</v>
      </c>
      <c r="I44" s="130"/>
      <c r="J44" s="131"/>
      <c r="K44" s="150">
        <v>20.0</v>
      </c>
      <c r="L44" s="150">
        <v>20.0</v>
      </c>
      <c r="M44" s="150">
        <v>20.0</v>
      </c>
      <c r="N44" s="150">
        <v>40.0</v>
      </c>
      <c r="O44" s="150">
        <v>40.0</v>
      </c>
      <c r="P44" s="34"/>
    </row>
    <row r="45" ht="15.75" customHeight="1">
      <c r="C45" s="75" t="s">
        <v>58</v>
      </c>
      <c r="D45" s="131">
        <v>50.0</v>
      </c>
      <c r="E45" s="150">
        <v>40.0</v>
      </c>
      <c r="F45" s="150">
        <v>40.0</v>
      </c>
      <c r="G45" s="150">
        <v>40.0</v>
      </c>
      <c r="H45" s="150">
        <v>40.0</v>
      </c>
      <c r="I45" s="130"/>
      <c r="J45" s="131"/>
      <c r="K45" s="150">
        <v>20.0</v>
      </c>
      <c r="L45" s="150">
        <v>20.0</v>
      </c>
      <c r="M45" s="150">
        <v>20.0</v>
      </c>
      <c r="N45" s="150">
        <v>40.0</v>
      </c>
      <c r="O45" s="150">
        <v>40.0</v>
      </c>
      <c r="P45" s="34"/>
    </row>
    <row r="46" ht="15.75" customHeight="1">
      <c r="C46" s="151" t="s">
        <v>59</v>
      </c>
      <c r="D46" s="131">
        <v>100.0</v>
      </c>
      <c r="E46" s="128">
        <v>100.0</v>
      </c>
      <c r="F46" s="128">
        <v>100.0</v>
      </c>
      <c r="G46" s="128">
        <v>100.0</v>
      </c>
      <c r="H46" s="128">
        <v>100.0</v>
      </c>
      <c r="I46" s="130"/>
      <c r="J46" s="128">
        <v>647.0</v>
      </c>
      <c r="K46" s="128">
        <v>100.0</v>
      </c>
      <c r="L46" s="128">
        <v>100.0</v>
      </c>
      <c r="M46" s="128">
        <v>100.0</v>
      </c>
      <c r="N46" s="128">
        <v>100.0</v>
      </c>
      <c r="O46" s="128">
        <v>100.0</v>
      </c>
      <c r="P46" s="34"/>
      <c r="Q46" s="118"/>
      <c r="R46" s="118"/>
      <c r="S46" s="118"/>
      <c r="T46" s="118"/>
      <c r="U46" s="118"/>
      <c r="V46" s="118"/>
      <c r="W46" s="118"/>
      <c r="X46" s="118"/>
      <c r="Y46" s="118"/>
    </row>
    <row r="47" ht="15.75" customHeight="1">
      <c r="C47" s="152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Q47" s="154"/>
      <c r="S47" s="155"/>
    </row>
    <row r="48" ht="15.75" customHeight="1">
      <c r="C48" s="156" t="s">
        <v>60</v>
      </c>
      <c r="D48" s="156" t="s">
        <v>61</v>
      </c>
      <c r="E48" s="157" t="s">
        <v>62</v>
      </c>
      <c r="F48" s="157" t="s">
        <v>63</v>
      </c>
      <c r="G48" s="157" t="s">
        <v>64</v>
      </c>
      <c r="H48" s="34"/>
      <c r="I48" s="158"/>
      <c r="J48" s="158"/>
      <c r="K48" s="159"/>
      <c r="L48" s="160"/>
      <c r="M48" s="154"/>
      <c r="N48" s="155"/>
      <c r="O48" s="161"/>
      <c r="Q48" s="154"/>
      <c r="S48" s="155"/>
    </row>
    <row r="49" ht="15.75" customHeight="1">
      <c r="C49" s="162" t="s">
        <v>65</v>
      </c>
      <c r="D49" s="163" t="s">
        <v>66</v>
      </c>
      <c r="E49" s="164" t="s">
        <v>67</v>
      </c>
      <c r="F49" s="165">
        <v>37.0</v>
      </c>
      <c r="G49" s="166" t="s">
        <v>68</v>
      </c>
      <c r="H49" s="34"/>
      <c r="I49" s="159"/>
      <c r="J49" s="158"/>
      <c r="K49" s="159"/>
      <c r="L49" s="160"/>
      <c r="N49" s="155"/>
      <c r="O49" s="161"/>
      <c r="Q49" s="154"/>
      <c r="S49" s="155"/>
    </row>
    <row r="50" ht="15.75" customHeight="1">
      <c r="C50" s="162" t="s">
        <v>65</v>
      </c>
      <c r="D50" s="167">
        <v>46027.0</v>
      </c>
      <c r="E50" s="164" t="s">
        <v>69</v>
      </c>
      <c r="F50" s="165">
        <v>5.0</v>
      </c>
      <c r="G50" s="166" t="s">
        <v>70</v>
      </c>
      <c r="H50" s="34"/>
      <c r="I50" s="158"/>
      <c r="J50" s="158"/>
      <c r="K50" s="159"/>
      <c r="L50" s="154"/>
      <c r="N50" s="155"/>
      <c r="O50" s="161"/>
    </row>
    <row r="51" ht="15.75" customHeight="1">
      <c r="C51" s="162" t="s">
        <v>71</v>
      </c>
      <c r="D51" s="167">
        <v>46024.0</v>
      </c>
      <c r="E51" s="164" t="s">
        <v>72</v>
      </c>
      <c r="F51" s="165">
        <v>13.0</v>
      </c>
      <c r="G51" s="166" t="s">
        <v>9</v>
      </c>
      <c r="H51" s="34"/>
      <c r="I51" s="158"/>
      <c r="J51" s="158"/>
      <c r="K51" s="159"/>
      <c r="L51" s="154"/>
      <c r="N51" s="155"/>
      <c r="O51" s="161"/>
      <c r="AA51" s="154"/>
      <c r="AB51" s="154"/>
    </row>
    <row r="52" ht="15.75" customHeight="1">
      <c r="C52" s="162" t="s">
        <v>73</v>
      </c>
      <c r="D52" s="167">
        <v>46055.0</v>
      </c>
      <c r="E52" s="163" t="s">
        <v>68</v>
      </c>
      <c r="F52" s="165">
        <v>5.0</v>
      </c>
      <c r="G52" s="166" t="s">
        <v>68</v>
      </c>
      <c r="I52" s="168" t="s">
        <v>68</v>
      </c>
      <c r="J52" s="168" t="s">
        <v>74</v>
      </c>
      <c r="K52" s="169" t="s">
        <v>9</v>
      </c>
      <c r="L52" s="169" t="s">
        <v>70</v>
      </c>
      <c r="M52" s="156" t="s">
        <v>75</v>
      </c>
      <c r="N52" s="168" t="s">
        <v>76</v>
      </c>
      <c r="O52" s="156" t="s">
        <v>77</v>
      </c>
      <c r="R52" s="170" t="s">
        <v>78</v>
      </c>
      <c r="Z52" s="154"/>
      <c r="AA52" s="154"/>
    </row>
    <row r="53" ht="15.75" customHeight="1">
      <c r="C53" s="171"/>
      <c r="D53" s="167"/>
      <c r="E53" s="163"/>
      <c r="F53" s="165">
        <v>0.0</v>
      </c>
      <c r="G53" s="166"/>
      <c r="H53" s="161"/>
      <c r="I53" s="172">
        <f>SUMIF(G:G, "Alimentação", F:F)</f>
        <v>42</v>
      </c>
      <c r="J53" s="173"/>
      <c r="K53" s="174">
        <f>SUMIF(G:G, "Lazer", F:F)</f>
        <v>13</v>
      </c>
      <c r="L53" s="175">
        <f>SUMIF(G:G, "Uber", F:F)</f>
        <v>5</v>
      </c>
      <c r="M53" s="175">
        <f>SUMIF(G:G, "Roupa", F:F)</f>
        <v>0</v>
      </c>
      <c r="N53" s="175">
        <f>SUMIF(G:G, "Itens", F:F)</f>
        <v>0</v>
      </c>
      <c r="O53" s="176">
        <f>SUMIF(G:G, "Pet", F:F)</f>
        <v>0</v>
      </c>
      <c r="R53" s="177">
        <f>SUMIF(C:C, "Wizink", F:F)</f>
        <v>0</v>
      </c>
      <c r="Z53" s="154"/>
      <c r="AA53" s="154"/>
    </row>
    <row r="54" ht="15.75" customHeight="1">
      <c r="C54" s="171"/>
      <c r="D54" s="167"/>
      <c r="E54" s="163"/>
      <c r="F54" s="165">
        <v>0.0</v>
      </c>
      <c r="G54" s="166"/>
      <c r="H54" s="161"/>
      <c r="I54" s="178">
        <v>240.0</v>
      </c>
      <c r="J54" s="179"/>
      <c r="K54" s="178">
        <v>200.0</v>
      </c>
      <c r="L54" s="180" t="s">
        <v>79</v>
      </c>
      <c r="M54" s="180"/>
      <c r="N54" s="180"/>
      <c r="O54" s="181"/>
      <c r="Z54" s="154"/>
      <c r="AA54" s="154"/>
    </row>
    <row r="55" ht="15.75" customHeight="1">
      <c r="C55" s="171"/>
      <c r="D55" s="167"/>
      <c r="E55" s="163"/>
      <c r="F55" s="165">
        <v>0.0</v>
      </c>
      <c r="G55" s="166"/>
      <c r="H55" s="161"/>
      <c r="I55" s="182">
        <f>(I54-I53)</f>
        <v>198</v>
      </c>
      <c r="J55" s="183"/>
      <c r="K55" s="184">
        <f>(K54-K53)</f>
        <v>187</v>
      </c>
      <c r="L55" s="185" t="s">
        <v>80</v>
      </c>
      <c r="M55" s="185"/>
      <c r="N55" s="185"/>
      <c r="O55" s="181"/>
      <c r="Z55" s="154"/>
      <c r="AA55" s="154"/>
    </row>
    <row r="56" ht="15.75" customHeight="1">
      <c r="C56" s="171"/>
      <c r="D56" s="167"/>
      <c r="E56" s="163"/>
      <c r="F56" s="165">
        <v>0.0</v>
      </c>
      <c r="G56" s="166"/>
      <c r="H56" s="161"/>
      <c r="I56" s="186"/>
      <c r="J56" s="186"/>
      <c r="K56" s="186"/>
      <c r="L56" s="186"/>
      <c r="M56" s="187"/>
      <c r="N56" s="161"/>
      <c r="O56" s="161"/>
      <c r="AA56" s="154"/>
      <c r="AB56" s="154"/>
    </row>
    <row r="57" ht="15.75" customHeight="1">
      <c r="C57" s="171"/>
      <c r="D57" s="167"/>
      <c r="E57" s="163"/>
      <c r="F57" s="165">
        <v>0.0</v>
      </c>
      <c r="G57" s="166"/>
      <c r="H57" s="161"/>
      <c r="I57" s="186"/>
      <c r="J57" s="186"/>
      <c r="K57" s="186"/>
      <c r="L57" s="186"/>
      <c r="M57" s="187"/>
      <c r="N57" s="161"/>
      <c r="O57" s="161"/>
      <c r="AA57" s="154"/>
      <c r="AB57" s="154"/>
    </row>
    <row r="58" ht="15.75" customHeight="1">
      <c r="C58" s="171"/>
      <c r="D58" s="188"/>
      <c r="E58" s="163"/>
      <c r="F58" s="165">
        <v>0.0</v>
      </c>
      <c r="G58" s="166"/>
      <c r="H58" s="161"/>
      <c r="I58" s="186"/>
      <c r="J58" s="186"/>
      <c r="K58" s="186"/>
      <c r="L58" s="186"/>
      <c r="M58" s="187"/>
      <c r="N58" s="161"/>
      <c r="O58" s="161"/>
      <c r="AA58" s="154"/>
      <c r="AB58" s="154"/>
    </row>
    <row r="59" ht="15.75" customHeight="1">
      <c r="C59" s="171"/>
      <c r="D59" s="189"/>
      <c r="E59" s="163"/>
      <c r="F59" s="165">
        <v>0.0</v>
      </c>
      <c r="G59" s="166"/>
      <c r="H59" s="161"/>
      <c r="I59" s="156" t="s">
        <v>74</v>
      </c>
      <c r="J59" s="156" t="s">
        <v>68</v>
      </c>
      <c r="K59" s="156" t="s">
        <v>9</v>
      </c>
      <c r="L59" s="156" t="s">
        <v>70</v>
      </c>
      <c r="M59" s="156" t="s">
        <v>81</v>
      </c>
      <c r="N59" s="156" t="s">
        <v>76</v>
      </c>
      <c r="O59" s="156" t="s">
        <v>82</v>
      </c>
      <c r="P59" s="156" t="s">
        <v>83</v>
      </c>
    </row>
    <row r="60" ht="15.75" customHeight="1">
      <c r="C60" s="171"/>
      <c r="D60" s="190"/>
      <c r="E60" s="163"/>
      <c r="F60" s="165">
        <v>0.0</v>
      </c>
      <c r="G60" s="166"/>
      <c r="H60" s="161"/>
      <c r="I60" s="188">
        <v>46107.0</v>
      </c>
      <c r="J60" s="166"/>
      <c r="K60" s="166"/>
      <c r="L60" s="166"/>
      <c r="M60" s="166"/>
      <c r="N60" s="166"/>
      <c r="O60" s="166"/>
      <c r="P60" s="166"/>
    </row>
    <row r="61" ht="15.75" customHeight="1">
      <c r="C61" s="171"/>
      <c r="D61" s="190"/>
      <c r="E61" s="163"/>
      <c r="F61" s="165">
        <v>0.0</v>
      </c>
      <c r="G61" s="166"/>
      <c r="H61" s="186"/>
      <c r="I61" s="188">
        <v>46138.0</v>
      </c>
      <c r="J61" s="191">
        <v>350.0</v>
      </c>
      <c r="K61" s="191">
        <v>130.0</v>
      </c>
      <c r="L61" s="191">
        <v>20.0</v>
      </c>
      <c r="M61" s="191">
        <v>0.0</v>
      </c>
      <c r="N61" s="191">
        <v>47.0</v>
      </c>
      <c r="O61" s="191">
        <v>0.0</v>
      </c>
      <c r="P61" s="166"/>
    </row>
    <row r="62" ht="15.75" customHeight="1">
      <c r="C62" s="171"/>
      <c r="D62" s="166"/>
      <c r="E62" s="163"/>
      <c r="F62" s="165">
        <v>0.0</v>
      </c>
      <c r="G62" s="166"/>
      <c r="H62" s="186"/>
      <c r="I62" s="188">
        <v>46168.0</v>
      </c>
      <c r="J62" s="191">
        <v>300.0</v>
      </c>
      <c r="K62" s="191">
        <v>223.0</v>
      </c>
      <c r="L62" s="191">
        <v>16.0</v>
      </c>
      <c r="M62" s="191">
        <v>11.0</v>
      </c>
      <c r="N62" s="191">
        <v>56.0</v>
      </c>
      <c r="O62" s="191">
        <v>430.0</v>
      </c>
      <c r="P62" s="166" t="s">
        <v>84</v>
      </c>
    </row>
    <row r="63" ht="15.75" customHeight="1">
      <c r="C63" s="171"/>
      <c r="D63" s="166"/>
      <c r="E63" s="163"/>
      <c r="F63" s="165">
        <v>0.0</v>
      </c>
      <c r="G63" s="166"/>
      <c r="H63" s="186"/>
      <c r="I63" s="188">
        <v>46199.0</v>
      </c>
      <c r="J63" s="191">
        <v>300.0</v>
      </c>
      <c r="K63" s="166">
        <v>267.0</v>
      </c>
      <c r="L63" s="166">
        <v>20.0</v>
      </c>
      <c r="M63" s="166">
        <v>100.0</v>
      </c>
      <c r="N63" s="166">
        <v>11.0</v>
      </c>
      <c r="O63" s="166">
        <v>58.0</v>
      </c>
      <c r="P63" s="166"/>
    </row>
    <row r="64" ht="15.75" customHeight="1">
      <c r="C64" s="171"/>
      <c r="D64" s="166"/>
      <c r="E64" s="163"/>
      <c r="F64" s="165">
        <v>0.0</v>
      </c>
      <c r="G64" s="166"/>
      <c r="H64" s="186"/>
      <c r="I64" s="188">
        <v>46229.0</v>
      </c>
      <c r="J64" s="166"/>
      <c r="K64" s="166"/>
      <c r="L64" s="166"/>
      <c r="M64" s="166"/>
      <c r="N64" s="166"/>
      <c r="O64" s="166"/>
      <c r="P64" s="166"/>
    </row>
    <row r="65" ht="15.75" customHeight="1">
      <c r="C65" s="171"/>
      <c r="D65" s="190"/>
      <c r="E65" s="166"/>
      <c r="F65" s="165">
        <v>0.0</v>
      </c>
      <c r="G65" s="166"/>
      <c r="H65" s="186"/>
      <c r="I65" s="188">
        <v>46260.0</v>
      </c>
      <c r="J65" s="166"/>
      <c r="K65" s="166"/>
      <c r="L65" s="166"/>
      <c r="M65" s="166"/>
      <c r="N65" s="166"/>
      <c r="O65" s="166"/>
      <c r="P65" s="166"/>
    </row>
    <row r="66" ht="15.75" customHeight="1">
      <c r="C66" s="171"/>
      <c r="D66" s="166"/>
      <c r="E66" s="166"/>
      <c r="F66" s="165">
        <v>0.0</v>
      </c>
      <c r="G66" s="166"/>
      <c r="H66" s="161"/>
      <c r="I66" s="188">
        <v>46291.0</v>
      </c>
      <c r="J66" s="166"/>
      <c r="K66" s="166"/>
      <c r="L66" s="166"/>
      <c r="M66" s="166"/>
      <c r="N66" s="166"/>
      <c r="O66" s="166"/>
      <c r="P66" s="166"/>
    </row>
    <row r="67" ht="15.75" customHeight="1">
      <c r="C67" s="171"/>
      <c r="D67" s="166"/>
      <c r="E67" s="166"/>
      <c r="F67" s="165">
        <v>0.0</v>
      </c>
      <c r="G67" s="166"/>
      <c r="H67" s="161"/>
      <c r="I67" s="192">
        <v>46321.0</v>
      </c>
      <c r="J67" s="166"/>
      <c r="K67" s="166"/>
      <c r="L67" s="166"/>
      <c r="M67" s="166"/>
      <c r="N67" s="166"/>
      <c r="O67" s="166"/>
      <c r="P67" s="166"/>
    </row>
    <row r="68" ht="15.75" customHeight="1">
      <c r="C68" s="171"/>
      <c r="D68" s="166"/>
      <c r="E68" s="166"/>
      <c r="F68" s="165">
        <v>0.0</v>
      </c>
      <c r="G68" s="166"/>
      <c r="H68" s="161"/>
      <c r="I68" s="192">
        <v>46352.0</v>
      </c>
      <c r="J68" s="166"/>
      <c r="K68" s="166"/>
      <c r="L68" s="166"/>
      <c r="M68" s="166"/>
      <c r="N68" s="166"/>
      <c r="O68" s="166"/>
      <c r="P68" s="166"/>
    </row>
    <row r="69" ht="15.75" customHeight="1">
      <c r="C69" s="171"/>
      <c r="D69" s="171"/>
      <c r="E69" s="171"/>
      <c r="F69" s="165">
        <v>0.0</v>
      </c>
      <c r="G69" s="171"/>
      <c r="H69" s="155"/>
      <c r="I69" s="192">
        <v>46382.0</v>
      </c>
      <c r="J69" s="166"/>
      <c r="K69" s="166"/>
      <c r="L69" s="166"/>
      <c r="M69" s="166"/>
      <c r="N69" s="166"/>
      <c r="O69" s="166"/>
      <c r="P69" s="166"/>
    </row>
    <row r="70" ht="15.75" customHeight="1">
      <c r="C70" s="171"/>
      <c r="D70" s="171"/>
      <c r="E70" s="171"/>
      <c r="F70" s="165">
        <v>0.0</v>
      </c>
      <c r="G70" s="181"/>
      <c r="H70" s="155"/>
      <c r="I70" s="193">
        <v>46049.0</v>
      </c>
      <c r="J70" s="171"/>
      <c r="K70" s="171"/>
      <c r="L70" s="171"/>
      <c r="M70" s="171"/>
      <c r="N70" s="171"/>
      <c r="O70" s="171"/>
      <c r="P70" s="162"/>
    </row>
    <row r="71" ht="15.75" customHeight="1">
      <c r="C71" s="171"/>
      <c r="D71" s="171"/>
      <c r="E71" s="171"/>
      <c r="F71" s="165">
        <v>0.0</v>
      </c>
      <c r="G71" s="171"/>
      <c r="I71" s="188">
        <v>46080.0</v>
      </c>
      <c r="J71" s="166"/>
      <c r="K71" s="166"/>
      <c r="L71" s="166"/>
      <c r="M71" s="166"/>
      <c r="N71" s="166"/>
      <c r="O71" s="166"/>
      <c r="P71" s="166"/>
    </row>
    <row r="72" ht="15.75" customHeight="1">
      <c r="C72" s="171"/>
      <c r="D72" s="171"/>
      <c r="E72" s="171"/>
      <c r="F72" s="165">
        <v>0.0</v>
      </c>
      <c r="G72" s="171"/>
      <c r="I72" s="193"/>
      <c r="J72" s="171"/>
      <c r="K72" s="171"/>
      <c r="L72" s="171"/>
      <c r="M72" s="171"/>
      <c r="N72" s="171"/>
      <c r="O72" s="171"/>
      <c r="P72" s="162"/>
    </row>
    <row r="73" ht="15.75" customHeight="1">
      <c r="C73" s="171"/>
      <c r="D73" s="171"/>
      <c r="E73" s="171"/>
      <c r="F73" s="165">
        <v>0.0</v>
      </c>
      <c r="G73" s="171"/>
    </row>
    <row r="74" ht="15.75" customHeight="1">
      <c r="C74" s="171"/>
      <c r="D74" s="171"/>
      <c r="E74" s="171"/>
      <c r="F74" s="165">
        <v>0.0</v>
      </c>
      <c r="G74" s="171"/>
    </row>
    <row r="75" ht="15.75" customHeight="1">
      <c r="C75" s="171"/>
      <c r="D75" s="171"/>
      <c r="E75" s="171"/>
      <c r="F75" s="165">
        <v>0.0</v>
      </c>
      <c r="G75" s="171"/>
    </row>
    <row r="76" ht="15.75" customHeight="1">
      <c r="C76" s="171"/>
      <c r="D76" s="171"/>
      <c r="E76" s="171"/>
      <c r="F76" s="165">
        <v>0.0</v>
      </c>
      <c r="G76" s="171"/>
    </row>
    <row r="77" ht="15.75" customHeight="1">
      <c r="C77" s="171"/>
      <c r="D77" s="171"/>
      <c r="E77" s="171"/>
      <c r="F77" s="165">
        <v>0.0</v>
      </c>
      <c r="G77" s="171"/>
    </row>
    <row r="78" ht="15.75" customHeight="1">
      <c r="C78" s="171"/>
      <c r="D78" s="171"/>
      <c r="E78" s="171"/>
      <c r="F78" s="165">
        <v>0.0</v>
      </c>
      <c r="G78" s="171"/>
    </row>
    <row r="79" ht="15.75" customHeight="1">
      <c r="C79" s="171"/>
      <c r="D79" s="171"/>
      <c r="E79" s="171"/>
      <c r="F79" s="165">
        <v>0.0</v>
      </c>
      <c r="G79" s="171"/>
    </row>
    <row r="80" ht="15.75" customHeight="1">
      <c r="C80" s="171"/>
      <c r="D80" s="171"/>
      <c r="E80" s="171"/>
      <c r="F80" s="165">
        <v>0.0</v>
      </c>
      <c r="G80" s="171"/>
    </row>
    <row r="81" ht="15.75" customHeight="1">
      <c r="C81" s="171"/>
      <c r="D81" s="171"/>
      <c r="E81" s="171"/>
      <c r="F81" s="165">
        <v>0.0</v>
      </c>
      <c r="G81" s="171"/>
    </row>
    <row r="82" ht="15.75" customHeight="1">
      <c r="C82" s="171"/>
      <c r="D82" s="171"/>
      <c r="E82" s="171"/>
      <c r="F82" s="165">
        <v>0.0</v>
      </c>
      <c r="G82" s="171"/>
    </row>
    <row r="83" ht="15.75" customHeight="1">
      <c r="C83" s="171"/>
      <c r="D83" s="171"/>
      <c r="E83" s="171"/>
      <c r="F83" s="165">
        <v>0.0</v>
      </c>
      <c r="G83" s="171"/>
    </row>
    <row r="84" ht="15.75" customHeight="1">
      <c r="C84" s="171"/>
      <c r="D84" s="171"/>
      <c r="E84" s="171"/>
      <c r="F84" s="165">
        <v>0.0</v>
      </c>
      <c r="G84" s="171"/>
    </row>
    <row r="85" ht="15.75" customHeight="1">
      <c r="C85" s="171"/>
      <c r="D85" s="171"/>
      <c r="E85" s="171"/>
      <c r="F85" s="165">
        <v>0.0</v>
      </c>
      <c r="G85" s="171"/>
    </row>
    <row r="86" ht="15.75" customHeight="1">
      <c r="C86" s="171"/>
      <c r="D86" s="171"/>
      <c r="E86" s="171"/>
      <c r="F86" s="165">
        <v>0.0</v>
      </c>
      <c r="G86" s="171"/>
    </row>
    <row r="87" ht="15.75" customHeight="1">
      <c r="C87" s="171"/>
      <c r="D87" s="171"/>
      <c r="E87" s="171"/>
      <c r="F87" s="165">
        <v>0.0</v>
      </c>
      <c r="G87" s="171"/>
    </row>
    <row r="88" ht="15.75" customHeight="1">
      <c r="C88" s="171"/>
      <c r="D88" s="171"/>
      <c r="E88" s="171"/>
      <c r="F88" s="165">
        <v>0.0</v>
      </c>
      <c r="G88" s="171"/>
    </row>
    <row r="89" ht="15.75" customHeight="1">
      <c r="C89" s="171"/>
      <c r="D89" s="171"/>
      <c r="E89" s="171"/>
      <c r="F89" s="165">
        <v>0.0</v>
      </c>
      <c r="G89" s="171"/>
    </row>
    <row r="90" ht="15.75" customHeight="1">
      <c r="C90" s="171"/>
      <c r="D90" s="171"/>
      <c r="E90" s="171"/>
      <c r="F90" s="165">
        <v>0.0</v>
      </c>
      <c r="G90" s="171"/>
    </row>
    <row r="91" ht="15.75" customHeight="1">
      <c r="C91" s="171"/>
      <c r="D91" s="171"/>
      <c r="E91" s="171"/>
      <c r="F91" s="165">
        <v>0.0</v>
      </c>
      <c r="G91" s="171"/>
    </row>
    <row r="92" ht="15.75" customHeight="1">
      <c r="C92" s="171"/>
      <c r="D92" s="171"/>
      <c r="E92" s="171"/>
      <c r="F92" s="165">
        <v>0.0</v>
      </c>
      <c r="G92" s="171"/>
    </row>
    <row r="93" ht="15.75" customHeight="1">
      <c r="C93" s="171"/>
      <c r="D93" s="171"/>
      <c r="E93" s="171"/>
      <c r="F93" s="165">
        <v>0.0</v>
      </c>
      <c r="G93" s="171"/>
    </row>
    <row r="94" ht="15.75" customHeight="1">
      <c r="C94" s="171"/>
      <c r="D94" s="171"/>
      <c r="E94" s="171"/>
      <c r="F94" s="165">
        <v>0.0</v>
      </c>
      <c r="G94" s="171"/>
    </row>
    <row r="95" ht="15.75" customHeight="1">
      <c r="C95" s="171"/>
      <c r="D95" s="171"/>
      <c r="E95" s="171"/>
      <c r="F95" s="165">
        <v>0.0</v>
      </c>
      <c r="G95" s="171"/>
    </row>
    <row r="96" ht="15.75" customHeight="1">
      <c r="C96" s="171"/>
      <c r="D96" s="171"/>
      <c r="E96" s="171"/>
      <c r="F96" s="165">
        <v>0.0</v>
      </c>
      <c r="G96" s="171"/>
    </row>
    <row r="97" ht="15.75" customHeight="1">
      <c r="C97" s="171"/>
      <c r="D97" s="171"/>
      <c r="E97" s="171"/>
      <c r="F97" s="165">
        <v>0.0</v>
      </c>
      <c r="G97" s="171"/>
    </row>
    <row r="98" ht="15.75" customHeight="1">
      <c r="C98" s="171"/>
      <c r="D98" s="171"/>
      <c r="E98" s="171"/>
      <c r="F98" s="165">
        <v>0.0</v>
      </c>
      <c r="G98" s="171"/>
    </row>
    <row r="99" ht="15.75" customHeight="1">
      <c r="C99" s="171"/>
      <c r="D99" s="171"/>
      <c r="E99" s="171"/>
      <c r="F99" s="165">
        <v>0.0</v>
      </c>
      <c r="G99" s="17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5:Q18 D34:K47 L34:L38 M34:M47 N34:N38 O34:O47 Q34:Q38 L40 N40 Q40 S40:AB40 L42:L47 N42:N47 Q42 S42 F49:F99 E308:E1000">
    <cfRule type="notContainsBlanks" dxfId="4" priority="1">
      <formula>LEN(TRIM(Q15))&gt;0</formula>
    </cfRule>
  </conditionalFormatting>
  <dataValidations>
    <dataValidation type="custom" allowBlank="1" showDropDown="1" sqref="R7:S14 I53:O55 F49:F99">
      <formula1>AND(ISNUMBER(F7),(NOT(OR(NOT(ISERROR(DATEVALUE(F7))), AND(ISNUMBER(F7), LEFT(CELL("format", F7))="D")))))</formula1>
    </dataValidation>
  </dataValidations>
  <drawing r:id="rId2"/>
  <legacyDrawing r:id="rId3"/>
  <tableParts count="4"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8.13"/>
    <col customWidth="1" min="3" max="3" width="31.63"/>
    <col customWidth="1" min="4" max="4" width="9.63"/>
    <col customWidth="1" min="5" max="5" width="11.63"/>
    <col customWidth="1" min="6" max="6" width="8.38"/>
    <col customWidth="1" min="7" max="7" width="10.5"/>
    <col customWidth="1" min="8" max="8" width="9.0"/>
    <col customWidth="1" min="9" max="9" width="8.63"/>
    <col customWidth="1" min="10" max="10" width="10.5"/>
    <col customWidth="1" min="11" max="11" width="9.88"/>
    <col customWidth="1" min="12" max="12" width="10.13"/>
    <col customWidth="1" min="13" max="13" width="8.88"/>
    <col customWidth="1" min="14" max="15" width="9.5"/>
    <col customWidth="1" min="16" max="16" width="11.13"/>
    <col customWidth="1" min="17" max="17" width="8.88"/>
    <col customWidth="1" min="18" max="18" width="15.0"/>
    <col customWidth="1" min="19" max="19" width="36.63"/>
    <col customWidth="1" min="20" max="20" width="10.75"/>
    <col customWidth="1" min="21" max="21" width="11.0"/>
    <col customWidth="1" min="23" max="23" width="10.88"/>
    <col customWidth="1" min="24" max="24" width="9.0"/>
    <col customWidth="1" min="26" max="26" width="12.25"/>
  </cols>
  <sheetData>
    <row r="1" ht="24.75" customHeight="1">
      <c r="A1" s="1" t="s">
        <v>0</v>
      </c>
      <c r="B1" s="1" t="s">
        <v>1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7"/>
    </row>
    <row r="2" ht="38.25" customHeight="1">
      <c r="A2" s="8"/>
      <c r="B2" s="9"/>
      <c r="C2" s="10" t="s">
        <v>2</v>
      </c>
      <c r="D2" s="11">
        <v>36556.0</v>
      </c>
      <c r="E2" s="12">
        <v>36557.0</v>
      </c>
      <c r="F2" s="12">
        <v>36586.0</v>
      </c>
      <c r="G2" s="11">
        <v>36617.0</v>
      </c>
      <c r="H2" s="13" t="s">
        <v>3</v>
      </c>
      <c r="I2" s="194">
        <v>36678.0</v>
      </c>
      <c r="J2" s="195" t="s">
        <v>4</v>
      </c>
      <c r="K2" s="16">
        <v>36739.0</v>
      </c>
      <c r="L2" s="16">
        <v>36770.0</v>
      </c>
      <c r="M2" s="16">
        <v>36800.0</v>
      </c>
      <c r="N2" s="16">
        <v>36831.0</v>
      </c>
      <c r="O2" s="16">
        <v>36890.0</v>
      </c>
      <c r="P2" s="17" t="s">
        <v>5</v>
      </c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ht="24.0" customHeight="1">
      <c r="A3" s="20" t="s">
        <v>6</v>
      </c>
      <c r="B3" s="21"/>
      <c r="C3" s="22" t="s">
        <v>7</v>
      </c>
      <c r="D3" s="23">
        <f t="shared" ref="D3:O3" si="1">SUM(D4:D17)</f>
        <v>568.75</v>
      </c>
      <c r="E3" s="23">
        <f t="shared" si="1"/>
        <v>-831.25</v>
      </c>
      <c r="F3" s="23">
        <f t="shared" si="1"/>
        <v>-831.25</v>
      </c>
      <c r="G3" s="23">
        <f t="shared" si="1"/>
        <v>-831.25</v>
      </c>
      <c r="H3" s="23">
        <f t="shared" si="1"/>
        <v>0</v>
      </c>
      <c r="I3" s="23">
        <f t="shared" si="1"/>
        <v>1831.25</v>
      </c>
      <c r="J3" s="24">
        <f t="shared" si="1"/>
        <v>8759.5</v>
      </c>
      <c r="K3" s="23">
        <f t="shared" si="1"/>
        <v>2809.75</v>
      </c>
      <c r="L3" s="23">
        <f t="shared" si="1"/>
        <v>3366.25</v>
      </c>
      <c r="M3" s="24">
        <f t="shared" si="1"/>
        <v>2442.25</v>
      </c>
      <c r="N3" s="24">
        <f t="shared" si="1"/>
        <v>895.25</v>
      </c>
      <c r="O3" s="24">
        <f t="shared" si="1"/>
        <v>1249.25</v>
      </c>
      <c r="P3" s="25" t="s">
        <v>8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19.5" customHeight="1">
      <c r="A4" s="26">
        <v>6.25</v>
      </c>
      <c r="B4" s="27"/>
      <c r="C4" s="28" t="s">
        <v>9</v>
      </c>
      <c r="D4" s="196" t="s">
        <v>13</v>
      </c>
      <c r="E4" s="196" t="s">
        <v>13</v>
      </c>
      <c r="F4" s="196" t="s">
        <v>13</v>
      </c>
      <c r="G4" s="196" t="s">
        <v>13</v>
      </c>
      <c r="H4" s="31"/>
      <c r="I4" s="31"/>
      <c r="J4" s="197">
        <f>(250*A4)</f>
        <v>1562.5</v>
      </c>
      <c r="K4" s="197">
        <f>(200*A4)</f>
        <v>1250</v>
      </c>
      <c r="L4" s="196" t="s">
        <v>13</v>
      </c>
      <c r="M4" s="196" t="s">
        <v>13</v>
      </c>
      <c r="N4" s="196" t="s">
        <v>13</v>
      </c>
      <c r="O4" s="196" t="s">
        <v>13</v>
      </c>
      <c r="P4" s="33" t="s">
        <v>10</v>
      </c>
      <c r="Q4" s="34"/>
      <c r="R4" s="35"/>
      <c r="S4" s="36"/>
      <c r="T4" s="34"/>
      <c r="U4" s="34"/>
      <c r="V4" s="34"/>
      <c r="W4" s="34"/>
      <c r="X4" s="34"/>
      <c r="Y4" s="34"/>
      <c r="Z4" s="34"/>
      <c r="AA4" s="34"/>
      <c r="AB4" s="34"/>
    </row>
    <row r="5" ht="19.5" customHeight="1">
      <c r="A5" s="26"/>
      <c r="B5" s="27"/>
      <c r="C5" s="28" t="s">
        <v>85</v>
      </c>
      <c r="D5" s="196">
        <v>1400.0</v>
      </c>
      <c r="E5" s="40"/>
      <c r="F5" s="31"/>
      <c r="G5" s="31"/>
      <c r="H5" s="31"/>
      <c r="I5" s="31"/>
      <c r="J5" s="198">
        <v>2873.0</v>
      </c>
      <c r="K5" s="198">
        <v>2531.0</v>
      </c>
      <c r="L5" s="198">
        <v>2531.0</v>
      </c>
      <c r="M5" s="198">
        <v>2531.0</v>
      </c>
      <c r="N5" s="199">
        <v>1484.0</v>
      </c>
      <c r="O5" s="199">
        <v>1388.0</v>
      </c>
      <c r="P5" s="43">
        <f t="shared" ref="P5:P7" si="2">(I5+J5+K5+L5+M5+N5+O5)</f>
        <v>13338</v>
      </c>
      <c r="Q5" s="34"/>
      <c r="R5" s="35"/>
      <c r="S5" s="36"/>
      <c r="T5" s="34"/>
      <c r="U5" s="34"/>
      <c r="V5" s="34"/>
      <c r="W5" s="34"/>
      <c r="X5" s="34"/>
      <c r="Y5" s="34"/>
      <c r="Z5" s="34"/>
      <c r="AA5" s="34"/>
      <c r="AB5" s="34"/>
    </row>
    <row r="6" ht="19.5" customHeight="1">
      <c r="A6" s="44"/>
      <c r="B6" s="27"/>
      <c r="C6" s="28" t="s">
        <v>12</v>
      </c>
      <c r="D6" s="31"/>
      <c r="E6" s="31"/>
      <c r="F6" s="31"/>
      <c r="G6" s="31"/>
      <c r="H6" s="31"/>
      <c r="I6" s="31"/>
      <c r="J6" s="198">
        <v>2623.0</v>
      </c>
      <c r="K6" s="199">
        <v>1223.0</v>
      </c>
      <c r="L6" s="199">
        <v>959.0</v>
      </c>
      <c r="M6" s="199">
        <v>555.0</v>
      </c>
      <c r="N6" s="199">
        <v>505.0</v>
      </c>
      <c r="O6" s="199">
        <v>505.0</v>
      </c>
      <c r="P6" s="46">
        <f t="shared" si="2"/>
        <v>6370</v>
      </c>
      <c r="Q6" s="34"/>
      <c r="R6" s="47" t="s">
        <v>14</v>
      </c>
      <c r="S6" s="47" t="s">
        <v>15</v>
      </c>
      <c r="T6" s="48"/>
      <c r="U6" s="34"/>
      <c r="V6" s="34"/>
      <c r="W6" s="34"/>
      <c r="X6" s="34"/>
      <c r="Y6" s="34"/>
      <c r="Z6" s="34"/>
      <c r="AA6" s="34"/>
      <c r="AB6" s="34"/>
    </row>
    <row r="7" ht="19.5" customHeight="1">
      <c r="A7" s="44"/>
      <c r="B7" s="49"/>
      <c r="C7" s="28" t="s">
        <v>16</v>
      </c>
      <c r="D7" s="41"/>
      <c r="E7" s="41"/>
      <c r="F7" s="41"/>
      <c r="G7" s="41"/>
      <c r="H7" s="41"/>
      <c r="I7" s="199">
        <v>1050.0</v>
      </c>
      <c r="J7" s="199">
        <v>714.0</v>
      </c>
      <c r="K7" s="40"/>
      <c r="L7" s="45"/>
      <c r="M7" s="45"/>
      <c r="N7" s="45"/>
      <c r="O7" s="45"/>
      <c r="P7" s="43">
        <f t="shared" si="2"/>
        <v>1764</v>
      </c>
      <c r="Q7" s="34"/>
      <c r="R7" s="50" t="s">
        <v>17</v>
      </c>
      <c r="S7" s="51" t="s">
        <v>18</v>
      </c>
      <c r="T7" s="34"/>
      <c r="U7" s="34"/>
      <c r="V7" s="34"/>
      <c r="W7" s="34"/>
      <c r="X7" s="34"/>
      <c r="Y7" s="34"/>
      <c r="Z7" s="34"/>
      <c r="AA7" s="34"/>
      <c r="AB7" s="34"/>
    </row>
    <row r="8" ht="19.5" customHeight="1">
      <c r="A8" s="44"/>
      <c r="B8" s="49"/>
      <c r="C8" s="22" t="s">
        <v>19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3"/>
      <c r="Q8" s="34"/>
      <c r="R8" s="50" t="s">
        <v>20</v>
      </c>
      <c r="S8" s="51" t="s">
        <v>21</v>
      </c>
      <c r="T8" s="34"/>
      <c r="U8" s="34"/>
      <c r="V8" s="34"/>
      <c r="W8" s="34"/>
      <c r="X8" s="34"/>
      <c r="Y8" s="34"/>
      <c r="Z8" s="34"/>
      <c r="AA8" s="34"/>
      <c r="AB8" s="34"/>
    </row>
    <row r="9" ht="19.5" customHeight="1">
      <c r="A9" s="44"/>
      <c r="B9" s="49"/>
      <c r="C9" s="22" t="s">
        <v>22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3">
        <f>(G9+H9+I9+J9+K9+L9+M9+N9+O9)</f>
        <v>0</v>
      </c>
      <c r="Q9" s="34"/>
      <c r="R9" s="50" t="s">
        <v>20</v>
      </c>
      <c r="S9" s="53" t="s">
        <v>23</v>
      </c>
      <c r="T9" s="34"/>
      <c r="U9" s="34"/>
      <c r="V9" s="34"/>
      <c r="W9" s="34"/>
      <c r="X9" s="34"/>
      <c r="Y9" s="34"/>
      <c r="Z9" s="34"/>
      <c r="AA9" s="34"/>
      <c r="AB9" s="34"/>
    </row>
    <row r="10" ht="19.5" customHeight="1">
      <c r="A10" s="54"/>
      <c r="B10" s="49"/>
      <c r="C10" s="22" t="s">
        <v>24</v>
      </c>
      <c r="D10" s="41"/>
      <c r="E10" s="41"/>
      <c r="F10" s="41"/>
      <c r="G10" s="41"/>
      <c r="H10" s="41"/>
      <c r="I10" s="45"/>
      <c r="J10" s="199">
        <v>817.0</v>
      </c>
      <c r="K10" s="199">
        <v>817.0</v>
      </c>
      <c r="L10" s="40"/>
      <c r="M10" s="45"/>
      <c r="N10" s="45"/>
      <c r="O10" s="45"/>
      <c r="P10" s="43">
        <f>(I10+J10+K10)</f>
        <v>1634</v>
      </c>
      <c r="Q10" s="34"/>
      <c r="R10" s="50" t="s">
        <v>20</v>
      </c>
      <c r="S10" s="51" t="s">
        <v>25</v>
      </c>
      <c r="T10" s="34"/>
      <c r="U10" s="34"/>
      <c r="V10" s="34"/>
      <c r="W10" s="34"/>
      <c r="X10" s="34"/>
      <c r="Y10" s="34"/>
      <c r="Z10" s="34"/>
      <c r="AA10" s="34"/>
      <c r="AB10" s="34"/>
    </row>
    <row r="11" ht="19.5" customHeight="1">
      <c r="A11" s="49"/>
      <c r="B11" s="49"/>
      <c r="C11" s="56" t="s">
        <v>26</v>
      </c>
      <c r="D11" s="57">
        <f>(D32*A4)*(-1)</f>
        <v>-831.25</v>
      </c>
      <c r="E11" s="57">
        <f>(E32*A4)*(-1)</f>
        <v>-831.25</v>
      </c>
      <c r="F11" s="57">
        <f>(F32*A4)*(-1)</f>
        <v>-831.25</v>
      </c>
      <c r="G11" s="57">
        <f>(G32*A4)*(-1)</f>
        <v>-831.25</v>
      </c>
      <c r="H11" s="41"/>
      <c r="I11" s="57">
        <f>(I32*A4)*(-1)</f>
        <v>781.25</v>
      </c>
      <c r="J11" s="57">
        <f>(J32*A4)*(-1)</f>
        <v>-1250</v>
      </c>
      <c r="K11" s="57">
        <f>(K32*A4)*(-1)</f>
        <v>-3981.25</v>
      </c>
      <c r="L11" s="57">
        <f>(L32*A4)*(-1)</f>
        <v>-1093.75</v>
      </c>
      <c r="M11" s="57">
        <f>(M32*A4)*(-1)</f>
        <v>-643.75</v>
      </c>
      <c r="N11" s="57">
        <f>(N32*A4)*(-1)</f>
        <v>-1093.75</v>
      </c>
      <c r="O11" s="57">
        <f>(O32*A4)*(-1)</f>
        <v>-643.75</v>
      </c>
      <c r="P11" s="58">
        <f>(P5+P6+P7+P9+P10)</f>
        <v>23106</v>
      </c>
      <c r="Q11" s="34"/>
      <c r="R11" s="50" t="s">
        <v>20</v>
      </c>
      <c r="S11" s="53" t="s">
        <v>86</v>
      </c>
      <c r="T11" s="34"/>
      <c r="U11" s="34"/>
      <c r="V11" s="34"/>
      <c r="W11" s="34"/>
      <c r="X11" s="34"/>
      <c r="Y11" s="34"/>
      <c r="Z11" s="34"/>
      <c r="AA11" s="34"/>
      <c r="AB11" s="34"/>
    </row>
    <row r="12" ht="19.5" customHeight="1">
      <c r="A12" s="49"/>
      <c r="B12" s="49"/>
      <c r="C12" s="28" t="s">
        <v>28</v>
      </c>
      <c r="D12" s="41"/>
      <c r="E12" s="41"/>
      <c r="F12" s="41"/>
      <c r="G12" s="41"/>
      <c r="H12" s="41"/>
      <c r="I12" s="45"/>
      <c r="J12" s="200">
        <v>80.0</v>
      </c>
      <c r="K12" s="45"/>
      <c r="L12" s="45"/>
      <c r="M12" s="45"/>
      <c r="N12" s="45"/>
      <c r="O12" s="45"/>
      <c r="P12" s="34"/>
      <c r="Q12" s="34"/>
      <c r="R12" s="50" t="s">
        <v>20</v>
      </c>
      <c r="S12" s="59" t="s">
        <v>29</v>
      </c>
      <c r="T12" s="34"/>
      <c r="U12" s="34"/>
      <c r="V12" s="34"/>
      <c r="W12" s="34"/>
      <c r="X12" s="34"/>
      <c r="Y12" s="34"/>
      <c r="Z12" s="34"/>
      <c r="AA12" s="34"/>
      <c r="AB12" s="34"/>
    </row>
    <row r="13" ht="19.5" customHeight="1">
      <c r="A13" s="49"/>
      <c r="B13" s="49"/>
      <c r="C13" s="22" t="s">
        <v>30</v>
      </c>
      <c r="D13" s="197" t="s">
        <v>13</v>
      </c>
      <c r="E13" s="197" t="s">
        <v>13</v>
      </c>
      <c r="F13" s="197" t="s">
        <v>13</v>
      </c>
      <c r="G13" s="197" t="s">
        <v>13</v>
      </c>
      <c r="H13" s="41"/>
      <c r="I13" s="45"/>
      <c r="J13" s="196">
        <v>670.0</v>
      </c>
      <c r="K13" s="196">
        <v>670.0</v>
      </c>
      <c r="L13" s="196">
        <v>670.0</v>
      </c>
      <c r="M13" s="197" t="s">
        <v>13</v>
      </c>
      <c r="N13" s="197" t="s">
        <v>13</v>
      </c>
      <c r="O13" s="197" t="s">
        <v>13</v>
      </c>
      <c r="P13" s="34"/>
      <c r="Q13" s="34"/>
      <c r="R13" s="60" t="s">
        <v>31</v>
      </c>
      <c r="S13" s="61" t="s">
        <v>32</v>
      </c>
      <c r="T13" s="34"/>
      <c r="U13" s="34"/>
      <c r="V13" s="34"/>
      <c r="W13" s="34"/>
      <c r="X13" s="34"/>
      <c r="Y13" s="34"/>
      <c r="Z13" s="34"/>
      <c r="AA13" s="34"/>
      <c r="AB13" s="34"/>
    </row>
    <row r="14" ht="19.5" customHeight="1">
      <c r="A14" s="49"/>
      <c r="B14" s="49"/>
      <c r="C14" s="28" t="s">
        <v>33</v>
      </c>
      <c r="D14" s="197" t="s">
        <v>13</v>
      </c>
      <c r="E14" s="197" t="s">
        <v>13</v>
      </c>
      <c r="F14" s="197" t="s">
        <v>13</v>
      </c>
      <c r="G14" s="197" t="s">
        <v>13</v>
      </c>
      <c r="H14" s="41"/>
      <c r="I14" s="45"/>
      <c r="J14" s="196">
        <v>670.0</v>
      </c>
      <c r="K14" s="196">
        <v>300.0</v>
      </c>
      <c r="L14" s="196">
        <v>300.0</v>
      </c>
      <c r="M14" s="197" t="s">
        <v>13</v>
      </c>
      <c r="N14" s="197" t="s">
        <v>13</v>
      </c>
      <c r="O14" s="197" t="s">
        <v>13</v>
      </c>
      <c r="P14" s="34"/>
      <c r="Q14" s="62"/>
      <c r="R14" s="60" t="s">
        <v>34</v>
      </c>
      <c r="S14" s="63" t="s">
        <v>35</v>
      </c>
      <c r="T14" s="34"/>
      <c r="U14" s="34"/>
      <c r="V14" s="34"/>
      <c r="W14" s="34"/>
      <c r="X14" s="34"/>
      <c r="Y14" s="34"/>
      <c r="Z14" s="34"/>
      <c r="AA14" s="34"/>
      <c r="AB14" s="34"/>
    </row>
    <row r="15" ht="19.5" customHeight="1">
      <c r="A15" s="49"/>
      <c r="B15" s="49"/>
      <c r="C15" s="28" t="s">
        <v>36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64">
        <f t="shared" ref="P15:P17" si="3">SUM(D15:O15)</f>
        <v>0</v>
      </c>
      <c r="Q15" s="65">
        <f>(P15/A4)</f>
        <v>0</v>
      </c>
      <c r="R15" s="34"/>
      <c r="S15" s="66"/>
      <c r="T15" s="34"/>
      <c r="U15" s="34"/>
      <c r="V15" s="34"/>
      <c r="W15" s="34"/>
      <c r="X15" s="34"/>
      <c r="Y15" s="34"/>
      <c r="Z15" s="34"/>
      <c r="AA15" s="34"/>
      <c r="AB15" s="34"/>
    </row>
    <row r="16" ht="19.5" customHeight="1">
      <c r="A16" s="49"/>
      <c r="B16" s="49"/>
      <c r="C16" s="28" t="s">
        <v>37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67">
        <f t="shared" si="3"/>
        <v>0</v>
      </c>
      <c r="Q16" s="65">
        <f>(P16/A4)</f>
        <v>0</v>
      </c>
      <c r="R16" s="34"/>
      <c r="S16" s="66"/>
      <c r="T16" s="34"/>
      <c r="U16" s="34"/>
      <c r="V16" s="34"/>
      <c r="W16" s="34"/>
      <c r="X16" s="34"/>
      <c r="Y16" s="34"/>
      <c r="Z16" s="34"/>
      <c r="AA16" s="34"/>
      <c r="AB16" s="34"/>
    </row>
    <row r="17" ht="19.5" customHeight="1">
      <c r="A17" s="49"/>
      <c r="B17" s="49"/>
      <c r="C17" s="28" t="s">
        <v>38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67">
        <f t="shared" si="3"/>
        <v>0</v>
      </c>
      <c r="Q17" s="65">
        <f>(P17/A4)</f>
        <v>0</v>
      </c>
      <c r="R17" s="34"/>
      <c r="S17" s="66"/>
      <c r="T17" s="34"/>
      <c r="U17" s="34"/>
      <c r="V17" s="34"/>
      <c r="W17" s="34"/>
      <c r="X17" s="34"/>
      <c r="Y17" s="34"/>
      <c r="Z17" s="34"/>
      <c r="AA17" s="34"/>
      <c r="AB17" s="34"/>
    </row>
    <row r="18" ht="19.5" customHeight="1">
      <c r="A18" s="49"/>
      <c r="B18" s="49"/>
      <c r="C18" s="68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70">
        <f>(P15+P16+P17)</f>
        <v>0</v>
      </c>
      <c r="Q18" s="65">
        <f>(P18/A4)</f>
        <v>0</v>
      </c>
      <c r="R18" s="34"/>
      <c r="S18" s="71"/>
      <c r="T18" s="34"/>
      <c r="U18" s="34"/>
      <c r="V18" s="34"/>
      <c r="W18" s="34"/>
      <c r="X18" s="34"/>
      <c r="Y18" s="34"/>
      <c r="Z18" s="34"/>
      <c r="AA18" s="34"/>
      <c r="AB18" s="34"/>
    </row>
    <row r="19" ht="24.0" customHeight="1">
      <c r="A19" s="20"/>
      <c r="B19" s="21"/>
      <c r="C19" s="72" t="s">
        <v>39</v>
      </c>
      <c r="D19" s="73">
        <f t="shared" ref="D19:O19" si="4">SUM(D20:D24)</f>
        <v>0</v>
      </c>
      <c r="E19" s="73">
        <f t="shared" si="4"/>
        <v>0</v>
      </c>
      <c r="F19" s="73">
        <f t="shared" si="4"/>
        <v>0</v>
      </c>
      <c r="G19" s="73">
        <f t="shared" si="4"/>
        <v>0</v>
      </c>
      <c r="H19" s="73">
        <f t="shared" si="4"/>
        <v>0</v>
      </c>
      <c r="I19" s="73">
        <f t="shared" si="4"/>
        <v>-1070</v>
      </c>
      <c r="J19" s="73">
        <f t="shared" si="4"/>
        <v>9600</v>
      </c>
      <c r="K19" s="73">
        <f t="shared" si="4"/>
        <v>7000</v>
      </c>
      <c r="L19" s="73">
        <f t="shared" si="4"/>
        <v>7000</v>
      </c>
      <c r="M19" s="73">
        <f t="shared" si="4"/>
        <v>0</v>
      </c>
      <c r="N19" s="73">
        <f t="shared" si="4"/>
        <v>0</v>
      </c>
      <c r="O19" s="73">
        <f t="shared" si="4"/>
        <v>0</v>
      </c>
      <c r="P19" s="74"/>
      <c r="Q19" s="74"/>
      <c r="R19" s="34"/>
      <c r="S19" s="71"/>
      <c r="T19" s="71"/>
      <c r="U19" s="71"/>
      <c r="V19" s="34"/>
      <c r="W19" s="34"/>
      <c r="X19" s="34"/>
      <c r="Y19" s="34"/>
      <c r="Z19" s="34"/>
      <c r="AA19" s="34"/>
      <c r="AB19" s="34"/>
    </row>
    <row r="20" ht="19.5" customHeight="1">
      <c r="A20" s="49"/>
      <c r="B20" s="49"/>
      <c r="C20" s="75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8"/>
      <c r="P20" s="34"/>
      <c r="Q20" s="79"/>
      <c r="R20" s="34"/>
      <c r="S20" s="71"/>
      <c r="T20" s="71"/>
      <c r="U20" s="80"/>
      <c r="V20" s="34"/>
      <c r="W20" s="34"/>
      <c r="X20" s="34"/>
      <c r="Y20" s="34"/>
      <c r="Z20" s="34"/>
      <c r="AA20" s="34"/>
      <c r="AB20" s="34"/>
    </row>
    <row r="21" ht="19.5" customHeight="1">
      <c r="A21" s="81"/>
      <c r="B21" s="82"/>
      <c r="C21" s="75" t="s">
        <v>40</v>
      </c>
      <c r="D21" s="76"/>
      <c r="E21" s="76"/>
      <c r="F21" s="76"/>
      <c r="G21" s="76"/>
      <c r="H21" s="76"/>
      <c r="I21" s="76">
        <v>-1070.0</v>
      </c>
      <c r="J21" s="76"/>
      <c r="K21" s="76"/>
      <c r="L21" s="76"/>
      <c r="M21" s="76"/>
      <c r="N21" s="76"/>
      <c r="O21" s="78"/>
      <c r="P21" s="34"/>
      <c r="Q21" s="79"/>
      <c r="R21" s="34"/>
      <c r="S21" s="71"/>
      <c r="T21" s="71"/>
      <c r="U21" s="80"/>
      <c r="V21" s="34"/>
      <c r="W21" s="34"/>
      <c r="X21" s="34"/>
      <c r="Y21" s="34"/>
      <c r="Z21" s="34"/>
      <c r="AA21" s="34"/>
      <c r="AB21" s="34"/>
    </row>
    <row r="22" ht="19.5" customHeight="1">
      <c r="A22" s="81"/>
      <c r="B22" s="82"/>
      <c r="C22" s="75" t="s">
        <v>41</v>
      </c>
      <c r="D22" s="76"/>
      <c r="E22" s="76"/>
      <c r="F22" s="76"/>
      <c r="G22" s="76"/>
      <c r="H22" s="76"/>
      <c r="I22" s="76"/>
      <c r="J22" s="76">
        <v>2600.0</v>
      </c>
      <c r="K22" s="76"/>
      <c r="L22" s="76"/>
      <c r="M22" s="76"/>
      <c r="N22" s="76"/>
      <c r="O22" s="78"/>
      <c r="P22" s="34"/>
      <c r="Q22" s="83"/>
      <c r="R22" s="34"/>
      <c r="S22" s="71"/>
      <c r="T22" s="71"/>
      <c r="U22" s="80"/>
      <c r="V22" s="34"/>
      <c r="W22" s="34"/>
      <c r="X22" s="34"/>
      <c r="Y22" s="34"/>
      <c r="Z22" s="34"/>
      <c r="AA22" s="34"/>
      <c r="AB22" s="34"/>
    </row>
    <row r="23" ht="19.5" customHeight="1">
      <c r="A23" s="81"/>
      <c r="B23" s="82"/>
      <c r="C23" s="75"/>
      <c r="D23" s="76"/>
      <c r="E23" s="41"/>
      <c r="F23" s="41"/>
      <c r="G23" s="76"/>
      <c r="H23" s="76"/>
      <c r="I23" s="76"/>
      <c r="J23" s="76"/>
      <c r="K23" s="76"/>
      <c r="L23" s="76"/>
      <c r="M23" s="76"/>
      <c r="N23" s="76"/>
      <c r="O23" s="78"/>
      <c r="P23" s="34"/>
      <c r="Q23" s="79"/>
      <c r="R23" s="34"/>
      <c r="S23" s="71"/>
      <c r="T23" s="71"/>
      <c r="U23" s="71"/>
      <c r="V23" s="34"/>
      <c r="W23" s="34"/>
      <c r="X23" s="34"/>
      <c r="Y23" s="34"/>
      <c r="Z23" s="34"/>
      <c r="AA23" s="34"/>
      <c r="AB23" s="34"/>
    </row>
    <row r="24" ht="19.5" customHeight="1">
      <c r="A24" s="81"/>
      <c r="B24" s="82"/>
      <c r="C24" s="28" t="s">
        <v>42</v>
      </c>
      <c r="D24" s="197" t="s">
        <v>13</v>
      </c>
      <c r="E24" s="197" t="s">
        <v>13</v>
      </c>
      <c r="F24" s="197" t="s">
        <v>13</v>
      </c>
      <c r="G24" s="197" t="s">
        <v>13</v>
      </c>
      <c r="H24" s="41"/>
      <c r="I24" s="41"/>
      <c r="J24" s="41">
        <v>7000.0</v>
      </c>
      <c r="K24" s="41">
        <v>7000.0</v>
      </c>
      <c r="L24" s="41">
        <v>7000.0</v>
      </c>
      <c r="M24" s="197" t="s">
        <v>13</v>
      </c>
      <c r="N24" s="197" t="s">
        <v>13</v>
      </c>
      <c r="O24" s="197" t="s">
        <v>13</v>
      </c>
      <c r="P24" s="34"/>
      <c r="Q24" s="83"/>
      <c r="R24" s="34"/>
      <c r="S24" s="71"/>
      <c r="T24" s="71"/>
      <c r="U24" s="71"/>
      <c r="V24" s="34"/>
      <c r="W24" s="34"/>
      <c r="X24" s="34"/>
      <c r="Y24" s="34"/>
      <c r="Z24" s="34"/>
      <c r="AA24" s="34"/>
      <c r="AB24" s="34"/>
    </row>
    <row r="25" ht="19.5" customHeight="1">
      <c r="A25" s="81"/>
      <c r="B25" s="82"/>
      <c r="C25" s="201" t="s">
        <v>43</v>
      </c>
      <c r="D25" s="86">
        <f t="shared" ref="D25:G25" si="5">(D19-D3)</f>
        <v>-568.75</v>
      </c>
      <c r="E25" s="86">
        <f t="shared" si="5"/>
        <v>831.25</v>
      </c>
      <c r="F25" s="86">
        <f t="shared" si="5"/>
        <v>831.25</v>
      </c>
      <c r="G25" s="86">
        <f t="shared" si="5"/>
        <v>831.25</v>
      </c>
      <c r="H25" s="202"/>
      <c r="I25" s="203">
        <f t="shared" ref="I25:O25" si="6">(I19-I3)</f>
        <v>-2901.25</v>
      </c>
      <c r="J25" s="203">
        <f t="shared" si="6"/>
        <v>840.5</v>
      </c>
      <c r="K25" s="87">
        <f t="shared" si="6"/>
        <v>4190.25</v>
      </c>
      <c r="L25" s="87">
        <f t="shared" si="6"/>
        <v>3633.75</v>
      </c>
      <c r="M25" s="92">
        <f t="shared" si="6"/>
        <v>-2442.25</v>
      </c>
      <c r="N25" s="92">
        <f t="shared" si="6"/>
        <v>-895.25</v>
      </c>
      <c r="O25" s="93">
        <f t="shared" si="6"/>
        <v>-1249.25</v>
      </c>
      <c r="P25" s="94"/>
      <c r="Q25" s="94"/>
      <c r="R25" s="34"/>
      <c r="S25" s="71"/>
      <c r="T25" s="71"/>
      <c r="U25" s="71"/>
      <c r="V25" s="34"/>
      <c r="W25" s="34"/>
      <c r="X25" s="34"/>
      <c r="Y25" s="34"/>
      <c r="Z25" s="34"/>
      <c r="AA25" s="34"/>
      <c r="AB25" s="34"/>
    </row>
    <row r="26" ht="19.5" customHeight="1">
      <c r="A26" s="81"/>
      <c r="B26" s="82"/>
      <c r="C26" s="204" t="s">
        <v>44</v>
      </c>
      <c r="D26" s="86">
        <f>(D25+O26)</f>
        <v>607.75</v>
      </c>
      <c r="E26" s="86">
        <f t="shared" ref="E26:G26" si="7">(E25+D26)</f>
        <v>1439</v>
      </c>
      <c r="F26" s="86">
        <f t="shared" si="7"/>
        <v>2270.25</v>
      </c>
      <c r="G26" s="86">
        <f t="shared" si="7"/>
        <v>3101.5</v>
      </c>
      <c r="H26" s="205"/>
      <c r="I26" s="206">
        <f t="shared" ref="I26:O26" si="8">(I25+H26)</f>
        <v>-2901.25</v>
      </c>
      <c r="J26" s="206">
        <f t="shared" si="8"/>
        <v>-2060.75</v>
      </c>
      <c r="K26" s="86">
        <f t="shared" si="8"/>
        <v>2129.5</v>
      </c>
      <c r="L26" s="86">
        <f t="shared" si="8"/>
        <v>5763.25</v>
      </c>
      <c r="M26" s="98">
        <f t="shared" si="8"/>
        <v>3321</v>
      </c>
      <c r="N26" s="98">
        <f t="shared" si="8"/>
        <v>2425.75</v>
      </c>
      <c r="O26" s="99">
        <f t="shared" si="8"/>
        <v>1176.5</v>
      </c>
      <c r="P26" s="34"/>
      <c r="Q26" s="34"/>
      <c r="R26" s="34"/>
      <c r="S26" s="71"/>
      <c r="T26" s="71"/>
      <c r="U26" s="71"/>
      <c r="V26" s="34"/>
      <c r="W26" s="34"/>
      <c r="X26" s="34"/>
      <c r="Y26" s="34"/>
      <c r="Z26" s="34"/>
      <c r="AA26" s="34"/>
      <c r="AB26" s="34"/>
    </row>
    <row r="27" ht="19.5" hidden="1" customHeight="1">
      <c r="A27" s="26"/>
      <c r="B27" s="27"/>
      <c r="C27" s="207"/>
      <c r="D27" s="86"/>
      <c r="E27" s="208"/>
      <c r="F27" s="209"/>
      <c r="G27" s="209"/>
      <c r="H27" s="205"/>
      <c r="I27" s="210"/>
      <c r="J27" s="211"/>
      <c r="K27" s="212"/>
      <c r="L27" s="213"/>
      <c r="M27" s="212"/>
      <c r="N27" s="106"/>
      <c r="O27" s="107"/>
      <c r="P27" s="108"/>
      <c r="Q27" s="108"/>
      <c r="R27" s="34"/>
      <c r="S27" s="71"/>
      <c r="T27" s="71"/>
      <c r="U27" s="71"/>
      <c r="V27" s="34"/>
      <c r="W27" s="34"/>
      <c r="X27" s="34"/>
      <c r="Y27" s="34"/>
      <c r="Z27" s="34"/>
      <c r="AA27" s="34"/>
      <c r="AB27" s="34"/>
    </row>
    <row r="28" ht="19.5" hidden="1" customHeight="1">
      <c r="A28" s="26"/>
      <c r="B28" s="27"/>
      <c r="C28" s="207"/>
      <c r="D28" s="86"/>
      <c r="E28" s="208"/>
      <c r="F28" s="209"/>
      <c r="G28" s="209"/>
      <c r="H28" s="205"/>
      <c r="I28" s="210"/>
      <c r="J28" s="211"/>
      <c r="K28" s="212"/>
      <c r="L28" s="213"/>
      <c r="M28" s="212"/>
      <c r="N28" s="106"/>
      <c r="O28" s="107"/>
      <c r="P28" s="108"/>
      <c r="Q28" s="108"/>
      <c r="R28" s="34"/>
      <c r="S28" s="71"/>
      <c r="T28" s="71"/>
      <c r="U28" s="71"/>
      <c r="V28" s="34"/>
      <c r="W28" s="34"/>
      <c r="X28" s="34"/>
      <c r="Y28" s="34"/>
      <c r="Z28" s="34"/>
      <c r="AA28" s="34"/>
      <c r="AB28" s="34"/>
    </row>
    <row r="29" ht="24.0" customHeight="1">
      <c r="A29" s="109"/>
      <c r="B29" s="109"/>
      <c r="C29" s="214" t="s">
        <v>45</v>
      </c>
      <c r="D29" s="111">
        <f>(D26/A4)</f>
        <v>97.24</v>
      </c>
      <c r="E29" s="215">
        <f>(E26/A4)</f>
        <v>230.24</v>
      </c>
      <c r="F29" s="215">
        <f>(F26/A4)</f>
        <v>363.24</v>
      </c>
      <c r="G29" s="215">
        <f>(G26/A4)</f>
        <v>496.24</v>
      </c>
      <c r="H29" s="216"/>
      <c r="I29" s="217">
        <f>(I26/A4)</f>
        <v>-464.2</v>
      </c>
      <c r="J29" s="217">
        <f>(J26/A4)</f>
        <v>-329.72</v>
      </c>
      <c r="K29" s="215">
        <f>(K26/A4)</f>
        <v>340.72</v>
      </c>
      <c r="L29" s="215">
        <f>(L26/A4)</f>
        <v>922.12</v>
      </c>
      <c r="M29" s="215">
        <f>(M26/A4)</f>
        <v>531.36</v>
      </c>
      <c r="N29" s="215">
        <f>(N26/A4)</f>
        <v>388.12</v>
      </c>
      <c r="O29" s="218">
        <f>(O26/A4)</f>
        <v>188.24</v>
      </c>
      <c r="P29" s="117"/>
      <c r="Q29" s="117"/>
      <c r="R29" s="34"/>
      <c r="S29" s="71"/>
      <c r="T29" s="71"/>
      <c r="U29" s="71"/>
      <c r="V29" s="34"/>
      <c r="W29" s="34"/>
      <c r="X29" s="34"/>
      <c r="Y29" s="34"/>
      <c r="Z29" s="34"/>
      <c r="AA29" s="34"/>
      <c r="AB29" s="34"/>
    </row>
    <row r="30" ht="24.0" customHeight="1">
      <c r="A30" s="109"/>
      <c r="B30" s="109"/>
      <c r="C30" s="68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118"/>
      <c r="Q30" s="118"/>
      <c r="R30" s="34"/>
      <c r="S30" s="71"/>
      <c r="T30" s="71"/>
      <c r="U30" s="71"/>
      <c r="V30" s="34"/>
      <c r="W30" s="34"/>
      <c r="X30" s="34"/>
      <c r="Y30" s="34"/>
      <c r="Z30" s="34"/>
      <c r="AA30" s="34"/>
      <c r="AB30" s="34"/>
    </row>
    <row r="31" ht="24.0" customHeight="1">
      <c r="A31" s="109"/>
      <c r="B31" s="109"/>
      <c r="C31" s="119" t="s">
        <v>46</v>
      </c>
      <c r="D31" s="120">
        <v>1500.0</v>
      </c>
      <c r="E31" s="120">
        <v>1500.0</v>
      </c>
      <c r="F31" s="120">
        <v>1500.0</v>
      </c>
      <c r="G31" s="120">
        <v>1500.0</v>
      </c>
      <c r="H31" s="120"/>
      <c r="I31" s="120">
        <v>275.0</v>
      </c>
      <c r="J31" s="120">
        <f>(1300+200)</f>
        <v>1500</v>
      </c>
      <c r="K31" s="121">
        <f>(1300+758)</f>
        <v>2058</v>
      </c>
      <c r="L31" s="120">
        <v>1500.0</v>
      </c>
      <c r="M31" s="120">
        <v>1500.0</v>
      </c>
      <c r="N31" s="120">
        <v>1500.0</v>
      </c>
      <c r="O31" s="120">
        <v>1500.0</v>
      </c>
      <c r="P31" s="122"/>
      <c r="Q31" s="122"/>
      <c r="R31" s="34"/>
      <c r="S31" s="71"/>
      <c r="T31" s="71"/>
      <c r="U31" s="71"/>
      <c r="V31" s="34"/>
      <c r="W31" s="34"/>
      <c r="X31" s="34"/>
      <c r="Y31" s="34"/>
      <c r="Z31" s="34"/>
      <c r="AA31" s="34"/>
      <c r="AB31" s="34"/>
    </row>
    <row r="32" ht="24.0" customHeight="1">
      <c r="A32" s="109"/>
      <c r="B32" s="109"/>
      <c r="C32" s="56" t="s">
        <v>47</v>
      </c>
      <c r="D32" s="123">
        <f t="shared" ref="D32:O32" si="9">(D31-D33)</f>
        <v>133</v>
      </c>
      <c r="E32" s="123">
        <f t="shared" si="9"/>
        <v>133</v>
      </c>
      <c r="F32" s="123">
        <f t="shared" si="9"/>
        <v>133</v>
      </c>
      <c r="G32" s="123">
        <f t="shared" si="9"/>
        <v>133</v>
      </c>
      <c r="H32" s="123">
        <f t="shared" si="9"/>
        <v>0</v>
      </c>
      <c r="I32" s="123">
        <f t="shared" si="9"/>
        <v>-125</v>
      </c>
      <c r="J32" s="123">
        <f t="shared" si="9"/>
        <v>200</v>
      </c>
      <c r="K32" s="123">
        <f t="shared" si="9"/>
        <v>637</v>
      </c>
      <c r="L32" s="123">
        <f t="shared" si="9"/>
        <v>175</v>
      </c>
      <c r="M32" s="123">
        <f t="shared" si="9"/>
        <v>103</v>
      </c>
      <c r="N32" s="123">
        <f t="shared" si="9"/>
        <v>175</v>
      </c>
      <c r="O32" s="123">
        <f t="shared" si="9"/>
        <v>103</v>
      </c>
      <c r="P32" s="118"/>
      <c r="Q32" s="118"/>
      <c r="R32" s="34"/>
      <c r="S32" s="71"/>
      <c r="T32" s="71"/>
      <c r="U32" s="71"/>
      <c r="V32" s="34"/>
      <c r="W32" s="34"/>
      <c r="X32" s="34"/>
      <c r="Y32" s="34"/>
      <c r="Z32" s="34"/>
      <c r="AA32" s="34"/>
      <c r="AB32" s="34"/>
    </row>
    <row r="33" ht="24.0" customHeight="1">
      <c r="A33" s="20"/>
      <c r="B33" s="21"/>
      <c r="C33" s="124" t="s">
        <v>48</v>
      </c>
      <c r="D33" s="125">
        <f t="shared" ref="D33:O33" si="10">SUM(D34:D47)</f>
        <v>1367</v>
      </c>
      <c r="E33" s="125">
        <f t="shared" si="10"/>
        <v>1367</v>
      </c>
      <c r="F33" s="125">
        <f t="shared" si="10"/>
        <v>1367</v>
      </c>
      <c r="G33" s="125">
        <f t="shared" si="10"/>
        <v>1367</v>
      </c>
      <c r="H33" s="125">
        <f t="shared" si="10"/>
        <v>0</v>
      </c>
      <c r="I33" s="125">
        <f t="shared" si="10"/>
        <v>400</v>
      </c>
      <c r="J33" s="125">
        <f t="shared" si="10"/>
        <v>1300</v>
      </c>
      <c r="K33" s="125">
        <f t="shared" si="10"/>
        <v>1421</v>
      </c>
      <c r="L33" s="125">
        <f t="shared" si="10"/>
        <v>1325</v>
      </c>
      <c r="M33" s="125">
        <f t="shared" si="10"/>
        <v>1397</v>
      </c>
      <c r="N33" s="125">
        <f t="shared" si="10"/>
        <v>1325</v>
      </c>
      <c r="O33" s="125">
        <f t="shared" si="10"/>
        <v>1397</v>
      </c>
      <c r="P33" s="126"/>
      <c r="Q33" s="118"/>
      <c r="R33" s="34"/>
      <c r="S33" s="71"/>
      <c r="T33" s="71"/>
      <c r="U33" s="71"/>
      <c r="V33" s="34"/>
      <c r="W33" s="34"/>
      <c r="X33" s="34"/>
      <c r="Y33" s="34"/>
      <c r="Z33" s="34"/>
      <c r="AA33" s="34"/>
      <c r="AB33" s="34"/>
    </row>
    <row r="34" ht="19.5" customHeight="1">
      <c r="A34" s="81"/>
      <c r="B34" s="82"/>
      <c r="C34" s="127" t="s">
        <v>49</v>
      </c>
      <c r="D34" s="128">
        <v>790.0</v>
      </c>
      <c r="E34" s="128">
        <v>790.0</v>
      </c>
      <c r="F34" s="128">
        <v>790.0</v>
      </c>
      <c r="G34" s="128">
        <v>790.0</v>
      </c>
      <c r="H34" s="131"/>
      <c r="I34" s="131"/>
      <c r="J34" s="132">
        <v>783.0</v>
      </c>
      <c r="K34" s="132">
        <v>783.0</v>
      </c>
      <c r="L34" s="132">
        <v>783.0</v>
      </c>
      <c r="M34" s="132">
        <v>783.0</v>
      </c>
      <c r="N34" s="132">
        <v>783.0</v>
      </c>
      <c r="O34" s="133">
        <v>783.0</v>
      </c>
      <c r="P34" s="34"/>
      <c r="Q34" s="134"/>
      <c r="R34" s="34"/>
      <c r="S34" s="71"/>
      <c r="T34" s="71"/>
      <c r="U34" s="71"/>
      <c r="V34" s="34"/>
      <c r="W34" s="34"/>
      <c r="X34" s="34"/>
      <c r="Y34" s="34"/>
      <c r="Z34" s="34"/>
      <c r="AA34" s="34"/>
      <c r="AB34" s="34"/>
    </row>
    <row r="35" ht="19.5" customHeight="1">
      <c r="A35" s="81"/>
      <c r="B35" s="82"/>
      <c r="C35" s="75" t="s">
        <v>50</v>
      </c>
      <c r="D35" s="128">
        <v>60.0</v>
      </c>
      <c r="E35" s="128">
        <v>60.0</v>
      </c>
      <c r="F35" s="128">
        <v>60.0</v>
      </c>
      <c r="G35" s="128">
        <v>60.0</v>
      </c>
      <c r="H35" s="131"/>
      <c r="I35" s="131"/>
      <c r="J35" s="128">
        <v>60.0</v>
      </c>
      <c r="K35" s="128">
        <v>60.0</v>
      </c>
      <c r="L35" s="128">
        <v>60.0</v>
      </c>
      <c r="M35" s="128">
        <v>60.0</v>
      </c>
      <c r="N35" s="128">
        <v>60.0</v>
      </c>
      <c r="O35" s="135">
        <v>60.0</v>
      </c>
      <c r="P35" s="34"/>
      <c r="Q35" s="134"/>
      <c r="R35" s="34"/>
      <c r="S35" s="71"/>
      <c r="T35" s="71"/>
      <c r="U35" s="71"/>
      <c r="V35" s="34"/>
      <c r="W35" s="34"/>
      <c r="X35" s="34"/>
      <c r="Y35" s="34"/>
      <c r="Z35" s="34"/>
      <c r="AA35" s="34"/>
      <c r="AB35" s="34"/>
    </row>
    <row r="36" ht="19.5" customHeight="1">
      <c r="A36" s="81"/>
      <c r="B36" s="82"/>
      <c r="C36" s="75" t="s">
        <v>51</v>
      </c>
      <c r="D36" s="128">
        <v>53.0</v>
      </c>
      <c r="E36" s="128">
        <v>53.0</v>
      </c>
      <c r="F36" s="128">
        <v>53.0</v>
      </c>
      <c r="G36" s="128">
        <v>53.0</v>
      </c>
      <c r="H36" s="131"/>
      <c r="I36" s="131"/>
      <c r="J36" s="128">
        <v>53.0</v>
      </c>
      <c r="K36" s="128">
        <v>53.0</v>
      </c>
      <c r="L36" s="128">
        <v>53.0</v>
      </c>
      <c r="M36" s="128">
        <v>53.0</v>
      </c>
      <c r="N36" s="128">
        <v>53.0</v>
      </c>
      <c r="O36" s="128">
        <v>53.0</v>
      </c>
      <c r="P36" s="34"/>
      <c r="Q36" s="1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9.5" customHeight="1">
      <c r="A37" s="81"/>
      <c r="B37" s="82"/>
      <c r="C37" s="75" t="s">
        <v>52</v>
      </c>
      <c r="D37" s="128">
        <v>240.0</v>
      </c>
      <c r="E37" s="128">
        <v>240.0</v>
      </c>
      <c r="F37" s="128">
        <v>240.0</v>
      </c>
      <c r="G37" s="128">
        <v>240.0</v>
      </c>
      <c r="H37" s="131"/>
      <c r="I37" s="131"/>
      <c r="J37" s="128">
        <v>240.0</v>
      </c>
      <c r="K37" s="128">
        <v>240.0</v>
      </c>
      <c r="L37" s="128">
        <v>240.0</v>
      </c>
      <c r="M37" s="128">
        <v>240.0</v>
      </c>
      <c r="N37" s="128">
        <v>240.0</v>
      </c>
      <c r="O37" s="128">
        <v>240.0</v>
      </c>
      <c r="P37" s="34"/>
      <c r="Q37" s="1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9.5" customHeight="1">
      <c r="A38" s="81"/>
      <c r="B38" s="82"/>
      <c r="C38" s="75" t="s">
        <v>53</v>
      </c>
      <c r="D38" s="128">
        <v>40.0</v>
      </c>
      <c r="E38" s="128">
        <v>40.0</v>
      </c>
      <c r="F38" s="128">
        <v>40.0</v>
      </c>
      <c r="G38" s="128">
        <v>40.0</v>
      </c>
      <c r="H38" s="131"/>
      <c r="I38" s="131"/>
      <c r="J38" s="128">
        <v>40.0</v>
      </c>
      <c r="K38" s="128">
        <v>40.0</v>
      </c>
      <c r="L38" s="128">
        <v>40.0</v>
      </c>
      <c r="M38" s="128">
        <v>40.0</v>
      </c>
      <c r="N38" s="128">
        <v>40.0</v>
      </c>
      <c r="O38" s="135">
        <v>40.0</v>
      </c>
      <c r="P38" s="34"/>
      <c r="Q38" s="1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9.5" hidden="1" customHeight="1">
      <c r="A39" s="26"/>
      <c r="B39" s="27"/>
      <c r="C39" s="137"/>
      <c r="D39" s="131"/>
      <c r="E39" s="131"/>
      <c r="F39" s="131"/>
      <c r="G39" s="131"/>
      <c r="H39" s="139"/>
      <c r="I39" s="139"/>
      <c r="J39" s="139"/>
      <c r="K39" s="139"/>
      <c r="L39" s="106"/>
      <c r="M39" s="139"/>
      <c r="N39" s="106"/>
      <c r="O39" s="138"/>
      <c r="P39" s="34"/>
      <c r="Q39" s="140"/>
      <c r="R39" s="34"/>
      <c r="S39" s="140"/>
      <c r="T39" s="140"/>
      <c r="U39" s="141"/>
      <c r="V39" s="141"/>
      <c r="W39" s="141"/>
      <c r="X39" s="141"/>
      <c r="Y39" s="141"/>
      <c r="Z39" s="141"/>
      <c r="AA39" s="141"/>
      <c r="AB39" s="140"/>
    </row>
    <row r="40" ht="19.5" customHeight="1">
      <c r="A40" s="81"/>
      <c r="B40" s="82"/>
      <c r="C40" s="75" t="s">
        <v>54</v>
      </c>
      <c r="D40" s="128">
        <v>24.0</v>
      </c>
      <c r="E40" s="128">
        <v>24.0</v>
      </c>
      <c r="F40" s="128">
        <v>24.0</v>
      </c>
      <c r="G40" s="128">
        <v>24.0</v>
      </c>
      <c r="H40" s="131"/>
      <c r="I40" s="131"/>
      <c r="J40" s="128">
        <v>24.0</v>
      </c>
      <c r="K40" s="128">
        <v>24.0</v>
      </c>
      <c r="L40" s="128">
        <v>24.0</v>
      </c>
      <c r="M40" s="128">
        <v>24.0</v>
      </c>
      <c r="N40" s="128">
        <v>24.0</v>
      </c>
      <c r="O40" s="135">
        <v>24.0</v>
      </c>
      <c r="P40" s="34"/>
      <c r="Q40" s="134"/>
      <c r="R40" s="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</row>
    <row r="41" ht="19.5" hidden="1" customHeight="1">
      <c r="A41" s="26"/>
      <c r="B41" s="27"/>
      <c r="C41" s="137"/>
      <c r="D41" s="131"/>
      <c r="E41" s="131"/>
      <c r="F41" s="131"/>
      <c r="G41" s="131"/>
      <c r="H41" s="144"/>
      <c r="I41" s="144"/>
      <c r="J41" s="144"/>
      <c r="K41" s="128">
        <v>24.0</v>
      </c>
      <c r="L41" s="106"/>
      <c r="M41" s="144"/>
      <c r="N41" s="106"/>
      <c r="O41" s="142"/>
      <c r="P41" s="34"/>
      <c r="Q41" s="145"/>
      <c r="R41" s="34"/>
      <c r="S41" s="145"/>
    </row>
    <row r="42" ht="15.75" customHeight="1">
      <c r="C42" s="75" t="s">
        <v>55</v>
      </c>
      <c r="D42" s="128">
        <v>25.0</v>
      </c>
      <c r="E42" s="128">
        <v>25.0</v>
      </c>
      <c r="F42" s="128">
        <v>25.0</v>
      </c>
      <c r="G42" s="128">
        <v>25.0</v>
      </c>
      <c r="H42" s="131"/>
      <c r="I42" s="131"/>
      <c r="J42" s="131"/>
      <c r="K42" s="128">
        <v>25.0</v>
      </c>
      <c r="L42" s="128">
        <v>25.0</v>
      </c>
      <c r="M42" s="128">
        <v>25.0</v>
      </c>
      <c r="N42" s="128">
        <v>25.0</v>
      </c>
      <c r="O42" s="128">
        <v>25.0</v>
      </c>
      <c r="P42" s="34"/>
      <c r="Q42" s="134"/>
      <c r="R42" s="34"/>
      <c r="S42" s="134"/>
      <c r="T42" s="34"/>
      <c r="U42" s="34"/>
      <c r="V42" s="34"/>
      <c r="W42" s="34"/>
      <c r="X42" s="34"/>
      <c r="Y42" s="34"/>
      <c r="Z42" s="34"/>
      <c r="AA42" s="34"/>
      <c r="AB42" s="34"/>
    </row>
    <row r="43" ht="15.75" customHeight="1">
      <c r="C43" s="75" t="s">
        <v>56</v>
      </c>
      <c r="D43" s="131">
        <v>35.0</v>
      </c>
      <c r="E43" s="131">
        <v>35.0</v>
      </c>
      <c r="F43" s="131">
        <v>35.0</v>
      </c>
      <c r="G43" s="131">
        <v>35.0</v>
      </c>
      <c r="H43" s="131"/>
      <c r="I43" s="131"/>
      <c r="J43" s="149" t="s">
        <v>13</v>
      </c>
      <c r="K43" s="147">
        <f>(55+17)</f>
        <v>72</v>
      </c>
      <c r="L43" s="149" t="s">
        <v>13</v>
      </c>
      <c r="M43" s="147">
        <f>(55+17)</f>
        <v>72</v>
      </c>
      <c r="N43" s="149" t="s">
        <v>13</v>
      </c>
      <c r="O43" s="147">
        <f>(55+17)</f>
        <v>72</v>
      </c>
      <c r="P43" s="34"/>
    </row>
    <row r="44" ht="15.75" customHeight="1">
      <c r="C44" s="75" t="s">
        <v>57</v>
      </c>
      <c r="D44" s="149" t="s">
        <v>13</v>
      </c>
      <c r="E44" s="149" t="s">
        <v>13</v>
      </c>
      <c r="F44" s="149" t="s">
        <v>13</v>
      </c>
      <c r="G44" s="149" t="s">
        <v>13</v>
      </c>
      <c r="H44" s="131"/>
      <c r="I44" s="131"/>
      <c r="J44" s="149" t="s">
        <v>13</v>
      </c>
      <c r="K44" s="149" t="s">
        <v>13</v>
      </c>
      <c r="L44" s="149" t="s">
        <v>13</v>
      </c>
      <c r="M44" s="149" t="s">
        <v>13</v>
      </c>
      <c r="N44" s="149" t="s">
        <v>13</v>
      </c>
      <c r="O44" s="149" t="s">
        <v>13</v>
      </c>
      <c r="P44" s="34"/>
    </row>
    <row r="45" ht="15.75" customHeight="1">
      <c r="C45" s="75" t="s">
        <v>58</v>
      </c>
      <c r="D45" s="149" t="s">
        <v>13</v>
      </c>
      <c r="E45" s="149" t="s">
        <v>13</v>
      </c>
      <c r="F45" s="149" t="s">
        <v>13</v>
      </c>
      <c r="G45" s="149" t="s">
        <v>13</v>
      </c>
      <c r="H45" s="131"/>
      <c r="I45" s="131"/>
      <c r="J45" s="149" t="s">
        <v>13</v>
      </c>
      <c r="K45" s="149" t="s">
        <v>13</v>
      </c>
      <c r="L45" s="149" t="s">
        <v>13</v>
      </c>
      <c r="M45" s="149" t="s">
        <v>13</v>
      </c>
      <c r="N45" s="149" t="s">
        <v>13</v>
      </c>
      <c r="O45" s="149" t="s">
        <v>13</v>
      </c>
      <c r="P45" s="34"/>
    </row>
    <row r="46" ht="15.75" customHeight="1">
      <c r="C46" s="151" t="s">
        <v>59</v>
      </c>
      <c r="D46" s="131">
        <v>100.0</v>
      </c>
      <c r="E46" s="131">
        <v>100.0</v>
      </c>
      <c r="F46" s="131">
        <v>100.0</v>
      </c>
      <c r="G46" s="131">
        <v>100.0</v>
      </c>
      <c r="H46" s="219"/>
      <c r="I46" s="128">
        <v>400.0</v>
      </c>
      <c r="J46" s="128">
        <v>100.0</v>
      </c>
      <c r="K46" s="128">
        <v>100.0</v>
      </c>
      <c r="L46" s="128">
        <v>100.0</v>
      </c>
      <c r="M46" s="128">
        <v>100.0</v>
      </c>
      <c r="N46" s="128">
        <v>100.0</v>
      </c>
      <c r="O46" s="128">
        <v>100.0</v>
      </c>
      <c r="P46" s="34"/>
      <c r="Q46" s="118"/>
      <c r="R46" s="118"/>
      <c r="S46" s="118"/>
      <c r="T46" s="118"/>
      <c r="U46" s="118"/>
      <c r="V46" s="118"/>
      <c r="W46" s="118"/>
      <c r="X46" s="118"/>
      <c r="Y46" s="118"/>
    </row>
    <row r="47" ht="15.75" customHeight="1">
      <c r="C47" s="152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Q47" s="154"/>
      <c r="S47" s="155"/>
    </row>
    <row r="48" ht="15.75" customHeight="1">
      <c r="C48" s="156" t="s">
        <v>60</v>
      </c>
      <c r="D48" s="156" t="s">
        <v>61</v>
      </c>
      <c r="E48" s="157" t="s">
        <v>62</v>
      </c>
      <c r="F48" s="157" t="s">
        <v>63</v>
      </c>
      <c r="G48" s="157" t="s">
        <v>64</v>
      </c>
      <c r="H48" s="34"/>
      <c r="I48" s="158"/>
      <c r="J48" s="158"/>
      <c r="K48" s="159"/>
      <c r="L48" s="160"/>
      <c r="M48" s="154"/>
      <c r="N48" s="155"/>
      <c r="O48" s="161"/>
      <c r="Q48" s="154"/>
      <c r="S48" s="155"/>
    </row>
    <row r="49" ht="15.75" customHeight="1">
      <c r="C49" s="171"/>
      <c r="D49" s="163"/>
      <c r="E49" s="163"/>
      <c r="F49" s="165">
        <v>0.0</v>
      </c>
      <c r="G49" s="166"/>
      <c r="H49" s="34"/>
      <c r="I49" s="159"/>
      <c r="J49" s="158"/>
      <c r="K49" s="159"/>
      <c r="L49" s="160"/>
      <c r="N49" s="155"/>
      <c r="O49" s="161"/>
      <c r="Q49" s="154"/>
      <c r="S49" s="155"/>
    </row>
    <row r="50" ht="15.75" customHeight="1">
      <c r="C50" s="171"/>
      <c r="D50" s="163"/>
      <c r="E50" s="163"/>
      <c r="F50" s="165">
        <v>0.0</v>
      </c>
      <c r="G50" s="166"/>
      <c r="H50" s="34"/>
      <c r="I50" s="158"/>
      <c r="J50" s="158"/>
      <c r="K50" s="159"/>
      <c r="L50" s="154"/>
      <c r="N50" s="155"/>
      <c r="O50" s="161"/>
    </row>
    <row r="51" ht="15.75" customHeight="1">
      <c r="C51" s="171"/>
      <c r="D51" s="163"/>
      <c r="E51" s="163"/>
      <c r="F51" s="165">
        <v>0.0</v>
      </c>
      <c r="G51" s="166"/>
      <c r="H51" s="34"/>
      <c r="I51" s="158"/>
      <c r="J51" s="158"/>
      <c r="K51" s="159"/>
      <c r="L51" s="154"/>
      <c r="N51" s="155"/>
      <c r="O51" s="161"/>
      <c r="AA51" s="154"/>
      <c r="AB51" s="154"/>
    </row>
    <row r="52" ht="15.75" customHeight="1">
      <c r="C52" s="171"/>
      <c r="D52" s="167"/>
      <c r="E52" s="163"/>
      <c r="F52" s="165">
        <v>0.0</v>
      </c>
      <c r="G52" s="166"/>
      <c r="I52" s="168" t="s">
        <v>68</v>
      </c>
      <c r="J52" s="168" t="s">
        <v>74</v>
      </c>
      <c r="K52" s="169" t="s">
        <v>9</v>
      </c>
      <c r="L52" s="169" t="s">
        <v>70</v>
      </c>
      <c r="M52" s="156" t="s">
        <v>75</v>
      </c>
      <c r="N52" s="168" t="s">
        <v>76</v>
      </c>
      <c r="O52" s="156" t="s">
        <v>77</v>
      </c>
      <c r="R52" s="170" t="s">
        <v>78</v>
      </c>
      <c r="Z52" s="154"/>
      <c r="AA52" s="154"/>
    </row>
    <row r="53" ht="15.75" customHeight="1">
      <c r="C53" s="171"/>
      <c r="D53" s="167"/>
      <c r="E53" s="163"/>
      <c r="F53" s="165">
        <v>0.0</v>
      </c>
      <c r="G53" s="166"/>
      <c r="H53" s="161"/>
      <c r="I53" s="172">
        <f>SUMIF(G:G, "Alimentação", F:F)</f>
        <v>0</v>
      </c>
      <c r="J53" s="173"/>
      <c r="K53" s="174">
        <f>SUMIF(G:G, "Lazer", F:F)</f>
        <v>0</v>
      </c>
      <c r="L53" s="175">
        <f>SUMIF(G:G, "Uber", F:F)</f>
        <v>0</v>
      </c>
      <c r="M53" s="175">
        <f>SUMIF(G:G, "Roupa", F:F)</f>
        <v>0</v>
      </c>
      <c r="N53" s="175">
        <f>SUMIF(G:G, "Itens", F:F)</f>
        <v>0</v>
      </c>
      <c r="O53" s="176">
        <f>SUMIF(G:G, "Pet", F:F)</f>
        <v>0</v>
      </c>
      <c r="R53" s="177">
        <f>SUMIF(C:C, "Wizink", F:F)</f>
        <v>0</v>
      </c>
      <c r="Z53" s="154"/>
      <c r="AA53" s="154"/>
    </row>
    <row r="54" ht="15.75" customHeight="1">
      <c r="C54" s="171"/>
      <c r="D54" s="167"/>
      <c r="E54" s="163"/>
      <c r="F54" s="165">
        <v>0.0</v>
      </c>
      <c r="G54" s="166"/>
      <c r="H54" s="161"/>
      <c r="I54" s="178">
        <v>250.0</v>
      </c>
      <c r="J54" s="179"/>
      <c r="K54" s="178">
        <v>0.0</v>
      </c>
      <c r="L54" s="180" t="s">
        <v>79</v>
      </c>
      <c r="M54" s="180"/>
      <c r="N54" s="180"/>
      <c r="O54" s="181"/>
      <c r="Z54" s="154"/>
      <c r="AA54" s="154"/>
    </row>
    <row r="55" ht="15.75" customHeight="1">
      <c r="C55" s="171"/>
      <c r="D55" s="167"/>
      <c r="E55" s="163"/>
      <c r="F55" s="165">
        <v>0.0</v>
      </c>
      <c r="G55" s="166"/>
      <c r="H55" s="161"/>
      <c r="I55" s="182">
        <f>(I54-I53)</f>
        <v>250</v>
      </c>
      <c r="J55" s="183"/>
      <c r="K55" s="184">
        <f>(K54-K53)</f>
        <v>0</v>
      </c>
      <c r="L55" s="185" t="s">
        <v>80</v>
      </c>
      <c r="M55" s="185"/>
      <c r="N55" s="185"/>
      <c r="O55" s="181"/>
      <c r="Z55" s="154"/>
      <c r="AA55" s="154"/>
    </row>
    <row r="56" ht="15.75" customHeight="1">
      <c r="C56" s="171"/>
      <c r="D56" s="167"/>
      <c r="E56" s="163"/>
      <c r="F56" s="165">
        <v>0.0</v>
      </c>
      <c r="G56" s="166"/>
      <c r="H56" s="161"/>
      <c r="I56" s="186"/>
      <c r="J56" s="186"/>
      <c r="K56" s="186"/>
      <c r="L56" s="186"/>
      <c r="M56" s="187"/>
      <c r="N56" s="161"/>
      <c r="O56" s="161"/>
      <c r="AA56" s="154"/>
      <c r="AB56" s="154"/>
    </row>
    <row r="57" ht="15.75" customHeight="1">
      <c r="C57" s="171"/>
      <c r="D57" s="167"/>
      <c r="E57" s="163"/>
      <c r="F57" s="165">
        <v>0.0</v>
      </c>
      <c r="G57" s="166"/>
      <c r="H57" s="161"/>
      <c r="I57" s="186"/>
      <c r="J57" s="186"/>
      <c r="K57" s="186"/>
      <c r="L57" s="186"/>
      <c r="M57" s="187"/>
      <c r="N57" s="161"/>
      <c r="O57" s="161"/>
      <c r="AA57" s="154"/>
      <c r="AB57" s="154"/>
    </row>
    <row r="58" ht="15.75" customHeight="1">
      <c r="C58" s="171"/>
      <c r="D58" s="188"/>
      <c r="E58" s="163"/>
      <c r="F58" s="165">
        <v>0.0</v>
      </c>
      <c r="G58" s="166"/>
      <c r="H58" s="161"/>
      <c r="I58" s="186"/>
      <c r="J58" s="186"/>
      <c r="K58" s="186"/>
      <c r="L58" s="186"/>
      <c r="M58" s="187"/>
      <c r="N58" s="161"/>
      <c r="O58" s="161"/>
      <c r="AA58" s="154"/>
      <c r="AB58" s="154"/>
    </row>
    <row r="59" ht="15.75" customHeight="1">
      <c r="C59" s="171"/>
      <c r="D59" s="189"/>
      <c r="E59" s="163"/>
      <c r="F59" s="165">
        <v>0.0</v>
      </c>
      <c r="G59" s="166"/>
      <c r="H59" s="161"/>
      <c r="I59" s="156" t="s">
        <v>74</v>
      </c>
      <c r="J59" s="156" t="s">
        <v>68</v>
      </c>
      <c r="K59" s="156" t="s">
        <v>9</v>
      </c>
      <c r="L59" s="156" t="s">
        <v>70</v>
      </c>
      <c r="M59" s="156" t="s">
        <v>81</v>
      </c>
      <c r="N59" s="156" t="s">
        <v>76</v>
      </c>
      <c r="O59" s="156" t="s">
        <v>82</v>
      </c>
      <c r="P59" s="156" t="s">
        <v>83</v>
      </c>
    </row>
    <row r="60" ht="15.75" customHeight="1">
      <c r="C60" s="171"/>
      <c r="D60" s="190"/>
      <c r="E60" s="163"/>
      <c r="F60" s="165">
        <v>0.0</v>
      </c>
      <c r="G60" s="166"/>
      <c r="H60" s="161"/>
      <c r="I60" s="188">
        <v>46107.0</v>
      </c>
      <c r="J60" s="166"/>
      <c r="K60" s="166"/>
      <c r="L60" s="166"/>
      <c r="M60" s="166"/>
      <c r="N60" s="166"/>
      <c r="O60" s="166"/>
      <c r="P60" s="166"/>
    </row>
    <row r="61" ht="15.75" customHeight="1">
      <c r="C61" s="171"/>
      <c r="D61" s="190"/>
      <c r="E61" s="163"/>
      <c r="F61" s="165">
        <v>0.0</v>
      </c>
      <c r="G61" s="166"/>
      <c r="H61" s="186"/>
      <c r="I61" s="188">
        <v>46138.0</v>
      </c>
      <c r="J61" s="191">
        <v>350.0</v>
      </c>
      <c r="K61" s="191">
        <v>130.0</v>
      </c>
      <c r="L61" s="191">
        <v>20.0</v>
      </c>
      <c r="M61" s="191">
        <v>0.0</v>
      </c>
      <c r="N61" s="191">
        <v>47.0</v>
      </c>
      <c r="O61" s="191">
        <v>0.0</v>
      </c>
      <c r="P61" s="166"/>
    </row>
    <row r="62" ht="15.75" customHeight="1">
      <c r="C62" s="171"/>
      <c r="D62" s="166"/>
      <c r="E62" s="163"/>
      <c r="F62" s="165">
        <v>0.0</v>
      </c>
      <c r="G62" s="166"/>
      <c r="H62" s="186"/>
      <c r="I62" s="188">
        <v>46168.0</v>
      </c>
      <c r="J62" s="191">
        <v>300.0</v>
      </c>
      <c r="K62" s="191">
        <v>223.0</v>
      </c>
      <c r="L62" s="191">
        <v>16.0</v>
      </c>
      <c r="M62" s="191">
        <v>11.0</v>
      </c>
      <c r="N62" s="191">
        <v>56.0</v>
      </c>
      <c r="O62" s="191">
        <v>430.0</v>
      </c>
      <c r="P62" s="166" t="s">
        <v>84</v>
      </c>
    </row>
    <row r="63" ht="15.75" customHeight="1">
      <c r="C63" s="171"/>
      <c r="D63" s="166"/>
      <c r="E63" s="163"/>
      <c r="F63" s="165">
        <v>0.0</v>
      </c>
      <c r="G63" s="166"/>
      <c r="H63" s="186"/>
      <c r="I63" s="188">
        <v>46199.0</v>
      </c>
      <c r="J63" s="166"/>
      <c r="K63" s="166"/>
      <c r="L63" s="166"/>
      <c r="M63" s="166"/>
      <c r="N63" s="166"/>
      <c r="O63" s="166"/>
      <c r="P63" s="166"/>
    </row>
    <row r="64" ht="15.75" customHeight="1">
      <c r="C64" s="171"/>
      <c r="D64" s="166"/>
      <c r="E64" s="163"/>
      <c r="F64" s="165">
        <v>0.0</v>
      </c>
      <c r="G64" s="166"/>
      <c r="H64" s="186"/>
      <c r="I64" s="188">
        <v>46229.0</v>
      </c>
      <c r="J64" s="166"/>
      <c r="K64" s="166"/>
      <c r="L64" s="166"/>
      <c r="M64" s="166"/>
      <c r="N64" s="166"/>
      <c r="O64" s="166"/>
      <c r="P64" s="166"/>
    </row>
    <row r="65" ht="15.75" customHeight="1">
      <c r="C65" s="171"/>
      <c r="D65" s="190"/>
      <c r="E65" s="166"/>
      <c r="F65" s="165">
        <v>0.0</v>
      </c>
      <c r="G65" s="166"/>
      <c r="H65" s="186"/>
      <c r="I65" s="188">
        <v>46260.0</v>
      </c>
      <c r="J65" s="166"/>
      <c r="K65" s="166"/>
      <c r="L65" s="166"/>
      <c r="M65" s="166"/>
      <c r="N65" s="166"/>
      <c r="O65" s="166"/>
      <c r="P65" s="166"/>
    </row>
    <row r="66" ht="15.75" customHeight="1">
      <c r="C66" s="171"/>
      <c r="D66" s="166"/>
      <c r="E66" s="166"/>
      <c r="F66" s="165">
        <v>0.0</v>
      </c>
      <c r="G66" s="166"/>
      <c r="H66" s="161"/>
      <c r="I66" s="188">
        <v>46291.0</v>
      </c>
      <c r="J66" s="166"/>
      <c r="K66" s="166"/>
      <c r="L66" s="166"/>
      <c r="M66" s="166"/>
      <c r="N66" s="166"/>
      <c r="O66" s="166"/>
      <c r="P66" s="166"/>
    </row>
    <row r="67" ht="15.75" customHeight="1">
      <c r="C67" s="171"/>
      <c r="D67" s="166"/>
      <c r="E67" s="166"/>
      <c r="F67" s="165">
        <v>0.0</v>
      </c>
      <c r="G67" s="166"/>
      <c r="H67" s="161"/>
      <c r="I67" s="192">
        <v>46321.0</v>
      </c>
      <c r="J67" s="166"/>
      <c r="K67" s="166"/>
      <c r="L67" s="166"/>
      <c r="M67" s="166"/>
      <c r="N67" s="166"/>
      <c r="O67" s="166"/>
      <c r="P67" s="166"/>
    </row>
    <row r="68" ht="15.75" customHeight="1">
      <c r="C68" s="171"/>
      <c r="D68" s="166"/>
      <c r="E68" s="166"/>
      <c r="F68" s="165">
        <v>0.0</v>
      </c>
      <c r="G68" s="166"/>
      <c r="H68" s="161"/>
      <c r="I68" s="192">
        <v>46352.0</v>
      </c>
      <c r="J68" s="166"/>
      <c r="K68" s="166"/>
      <c r="L68" s="166"/>
      <c r="M68" s="166"/>
      <c r="N68" s="166"/>
      <c r="O68" s="166"/>
      <c r="P68" s="166"/>
    </row>
    <row r="69" ht="15.75" customHeight="1">
      <c r="C69" s="171"/>
      <c r="D69" s="171"/>
      <c r="E69" s="171"/>
      <c r="F69" s="165">
        <v>0.0</v>
      </c>
      <c r="G69" s="171"/>
      <c r="H69" s="155"/>
      <c r="I69" s="192">
        <v>46382.0</v>
      </c>
      <c r="J69" s="166"/>
      <c r="K69" s="166"/>
      <c r="L69" s="166"/>
      <c r="M69" s="166"/>
      <c r="N69" s="166"/>
      <c r="O69" s="166"/>
      <c r="P69" s="166"/>
    </row>
    <row r="70" ht="15.75" customHeight="1">
      <c r="C70" s="171"/>
      <c r="D70" s="171"/>
      <c r="E70" s="171"/>
      <c r="F70" s="165">
        <v>0.0</v>
      </c>
      <c r="G70" s="181"/>
      <c r="H70" s="155"/>
      <c r="I70" s="193">
        <v>46049.0</v>
      </c>
      <c r="J70" s="171"/>
      <c r="K70" s="171"/>
      <c r="L70" s="171"/>
      <c r="M70" s="171"/>
      <c r="N70" s="171"/>
      <c r="O70" s="171"/>
      <c r="P70" s="162"/>
    </row>
    <row r="71" ht="15.75" customHeight="1">
      <c r="C71" s="171"/>
      <c r="D71" s="171"/>
      <c r="E71" s="171"/>
      <c r="F71" s="165">
        <v>0.0</v>
      </c>
      <c r="G71" s="171"/>
      <c r="I71" s="188">
        <v>46080.0</v>
      </c>
      <c r="J71" s="166"/>
      <c r="K71" s="166"/>
      <c r="L71" s="166"/>
      <c r="M71" s="166"/>
      <c r="N71" s="166"/>
      <c r="O71" s="166"/>
      <c r="P71" s="166"/>
    </row>
    <row r="72" ht="15.75" customHeight="1">
      <c r="C72" s="171"/>
      <c r="D72" s="171"/>
      <c r="E72" s="171"/>
      <c r="F72" s="165">
        <v>0.0</v>
      </c>
      <c r="G72" s="171"/>
      <c r="I72" s="193"/>
      <c r="J72" s="171"/>
      <c r="K72" s="171"/>
      <c r="L72" s="171"/>
      <c r="M72" s="171"/>
      <c r="N72" s="171"/>
      <c r="O72" s="171"/>
      <c r="P72" s="162"/>
    </row>
    <row r="73" ht="15.75" customHeight="1">
      <c r="C73" s="171"/>
      <c r="D73" s="171"/>
      <c r="E73" s="171"/>
      <c r="F73" s="165">
        <v>0.0</v>
      </c>
      <c r="G73" s="171"/>
    </row>
    <row r="74" ht="15.75" customHeight="1">
      <c r="C74" s="171"/>
      <c r="D74" s="171"/>
      <c r="E74" s="171"/>
      <c r="F74" s="165">
        <v>0.0</v>
      </c>
      <c r="G74" s="171"/>
    </row>
    <row r="75" ht="15.75" customHeight="1">
      <c r="C75" s="171"/>
      <c r="D75" s="171"/>
      <c r="E75" s="171"/>
      <c r="F75" s="165">
        <v>0.0</v>
      </c>
      <c r="G75" s="171"/>
    </row>
    <row r="76" ht="15.75" customHeight="1">
      <c r="C76" s="171"/>
      <c r="D76" s="171"/>
      <c r="E76" s="171"/>
      <c r="F76" s="165">
        <v>0.0</v>
      </c>
      <c r="G76" s="171"/>
    </row>
    <row r="77" ht="15.75" customHeight="1">
      <c r="C77" s="171"/>
      <c r="D77" s="171"/>
      <c r="E77" s="171"/>
      <c r="F77" s="165">
        <v>0.0</v>
      </c>
      <c r="G77" s="171"/>
    </row>
    <row r="78" ht="15.75" customHeight="1">
      <c r="C78" s="171"/>
      <c r="D78" s="171"/>
      <c r="E78" s="171"/>
      <c r="F78" s="165">
        <v>0.0</v>
      </c>
      <c r="G78" s="171"/>
    </row>
    <row r="79" ht="15.75" customHeight="1">
      <c r="C79" s="171"/>
      <c r="D79" s="171"/>
      <c r="E79" s="171"/>
      <c r="F79" s="165">
        <v>0.0</v>
      </c>
      <c r="G79" s="171"/>
    </row>
    <row r="80" ht="15.75" customHeight="1">
      <c r="C80" s="171"/>
      <c r="D80" s="171"/>
      <c r="E80" s="171"/>
      <c r="F80" s="165">
        <v>0.0</v>
      </c>
      <c r="G80" s="171"/>
    </row>
    <row r="81" ht="15.75" customHeight="1">
      <c r="C81" s="171"/>
      <c r="D81" s="171"/>
      <c r="E81" s="171"/>
      <c r="F81" s="165">
        <v>0.0</v>
      </c>
      <c r="G81" s="171"/>
    </row>
    <row r="82" ht="15.75" customHeight="1">
      <c r="C82" s="171"/>
      <c r="D82" s="171"/>
      <c r="E82" s="171"/>
      <c r="F82" s="165">
        <v>0.0</v>
      </c>
      <c r="G82" s="171"/>
    </row>
    <row r="83" ht="15.75" customHeight="1">
      <c r="C83" s="171"/>
      <c r="D83" s="171"/>
      <c r="E83" s="171"/>
      <c r="F83" s="165">
        <v>0.0</v>
      </c>
      <c r="G83" s="171"/>
    </row>
    <row r="84" ht="15.75" customHeight="1">
      <c r="C84" s="171"/>
      <c r="D84" s="171"/>
      <c r="E84" s="171"/>
      <c r="F84" s="165">
        <v>0.0</v>
      </c>
      <c r="G84" s="171"/>
    </row>
    <row r="85" ht="15.75" customHeight="1">
      <c r="C85" s="171"/>
      <c r="D85" s="171"/>
      <c r="E85" s="171"/>
      <c r="F85" s="165">
        <v>0.0</v>
      </c>
      <c r="G85" s="171"/>
    </row>
    <row r="86" ht="15.75" customHeight="1">
      <c r="C86" s="171"/>
      <c r="D86" s="171"/>
      <c r="E86" s="171"/>
      <c r="F86" s="165">
        <v>0.0</v>
      </c>
      <c r="G86" s="171"/>
    </row>
    <row r="87" ht="15.75" customHeight="1">
      <c r="C87" s="171"/>
      <c r="D87" s="171"/>
      <c r="E87" s="171"/>
      <c r="F87" s="165">
        <v>0.0</v>
      </c>
      <c r="G87" s="171"/>
    </row>
    <row r="88" ht="15.75" customHeight="1">
      <c r="C88" s="171"/>
      <c r="D88" s="171"/>
      <c r="E88" s="171"/>
      <c r="F88" s="165">
        <v>0.0</v>
      </c>
      <c r="G88" s="171"/>
    </row>
    <row r="89" ht="15.75" customHeight="1">
      <c r="C89" s="171"/>
      <c r="D89" s="171"/>
      <c r="E89" s="171"/>
      <c r="F89" s="165">
        <v>0.0</v>
      </c>
      <c r="G89" s="171"/>
    </row>
    <row r="90" ht="15.75" customHeight="1">
      <c r="C90" s="171"/>
      <c r="D90" s="171"/>
      <c r="E90" s="171"/>
      <c r="F90" s="165">
        <v>0.0</v>
      </c>
      <c r="G90" s="171"/>
    </row>
    <row r="91" ht="15.75" customHeight="1">
      <c r="C91" s="171"/>
      <c r="D91" s="171"/>
      <c r="E91" s="171"/>
      <c r="F91" s="165">
        <v>0.0</v>
      </c>
      <c r="G91" s="171"/>
    </row>
    <row r="92" ht="15.75" customHeight="1">
      <c r="C92" s="171"/>
      <c r="D92" s="171"/>
      <c r="E92" s="171"/>
      <c r="F92" s="165">
        <v>0.0</v>
      </c>
      <c r="G92" s="171"/>
    </row>
    <row r="93" ht="15.75" customHeight="1">
      <c r="C93" s="171"/>
      <c r="D93" s="171"/>
      <c r="E93" s="171"/>
      <c r="F93" s="165">
        <v>0.0</v>
      </c>
      <c r="G93" s="171"/>
    </row>
    <row r="94" ht="15.75" customHeight="1">
      <c r="C94" s="171"/>
      <c r="D94" s="171"/>
      <c r="E94" s="171"/>
      <c r="F94" s="165">
        <v>0.0</v>
      </c>
      <c r="G94" s="171"/>
    </row>
    <row r="95" ht="15.75" customHeight="1">
      <c r="C95" s="171"/>
      <c r="D95" s="171"/>
      <c r="E95" s="171"/>
      <c r="F95" s="165">
        <v>0.0</v>
      </c>
      <c r="G95" s="171"/>
    </row>
    <row r="96" ht="15.75" customHeight="1">
      <c r="C96" s="171"/>
      <c r="D96" s="171"/>
      <c r="E96" s="171"/>
      <c r="F96" s="165">
        <v>0.0</v>
      </c>
      <c r="G96" s="171"/>
    </row>
    <row r="97" ht="15.75" customHeight="1">
      <c r="C97" s="171"/>
      <c r="D97" s="171"/>
      <c r="E97" s="171"/>
      <c r="F97" s="165">
        <v>0.0</v>
      </c>
      <c r="G97" s="171"/>
    </row>
    <row r="98" ht="15.75" customHeight="1">
      <c r="C98" s="171"/>
      <c r="D98" s="171"/>
      <c r="E98" s="171"/>
      <c r="F98" s="165">
        <v>0.0</v>
      </c>
      <c r="G98" s="171"/>
    </row>
    <row r="99" ht="15.75" customHeight="1">
      <c r="C99" s="171"/>
      <c r="D99" s="171"/>
      <c r="E99" s="171"/>
      <c r="F99" s="165">
        <v>0.0</v>
      </c>
      <c r="G99" s="17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4:K47 E308:E1000 F49:F99 L34:L38 L40 L42:L47 M34:M47 N34:N38 N40 N42:N47 O34:O47 Q15:Q18 Q34:Q38 Q40 Q42 S40:AB40 S42">
    <cfRule type="notContainsBlanks" dxfId="4" priority="1">
      <formula>LEN(TRIM(D34))&gt;0</formula>
    </cfRule>
  </conditionalFormatting>
  <dataValidations>
    <dataValidation type="custom" allowBlank="1" showDropDown="1" sqref="R7:S14 I53:O55 F49:F99">
      <formula1>AND(ISNUMBER(F7),(NOT(OR(NOT(ISERROR(DATEVALUE(F7))), AND(ISNUMBER(F7), LEFT(CELL("format", F7))="D")))))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